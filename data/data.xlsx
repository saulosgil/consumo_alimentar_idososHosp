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b858b1fb629067/Documentos/consumo_alimentar_idososHosp/data/"/>
    </mc:Choice>
  </mc:AlternateContent>
  <xr:revisionPtr revIDLastSave="88" documentId="11_E5A23BEA865E128107C5075D70F1322B9E69B2CC" xr6:coauthVersionLast="47" xr6:coauthVersionMax="47" xr10:uidLastSave="{E6FBDBDF-4CD0-41F5-B6FE-47C7720C95F0}"/>
  <bookViews>
    <workbookView xWindow="38280" yWindow="-120" windowWidth="19440" windowHeight="14880" xr2:uid="{00000000-000D-0000-FFFF-FFFF00000000}"/>
  </bookViews>
  <sheets>
    <sheet name="cons_diario_x_meta_kcal" sheetId="1" r:id="rId1"/>
  </sheets>
  <definedNames>
    <definedName name="_xlnm._FilterDatabase" localSheetId="0" hidden="1">cons_diario_x_meta_kcal!$A$1:$AW$1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V13" i="1"/>
  <c r="F14" i="1"/>
  <c r="F16" i="1"/>
  <c r="F17" i="1"/>
  <c r="F18" i="1"/>
  <c r="F19" i="1"/>
  <c r="F21" i="1"/>
  <c r="F22" i="1"/>
  <c r="Q22" i="1"/>
  <c r="F23" i="1"/>
  <c r="F24" i="1"/>
  <c r="F25" i="1"/>
  <c r="F26" i="1"/>
  <c r="F27" i="1"/>
  <c r="F28" i="1"/>
  <c r="P28" i="1"/>
  <c r="F29" i="1"/>
  <c r="F30" i="1"/>
  <c r="F32" i="1"/>
  <c r="F33" i="1"/>
  <c r="F34" i="1"/>
  <c r="F35" i="1"/>
  <c r="V35" i="1"/>
  <c r="F36" i="1"/>
  <c r="F37" i="1"/>
  <c r="F38" i="1"/>
  <c r="F39" i="1"/>
  <c r="F40" i="1"/>
  <c r="F41" i="1"/>
  <c r="F42" i="1"/>
  <c r="F44" i="1"/>
  <c r="F46" i="1"/>
  <c r="F47" i="1"/>
  <c r="F48" i="1"/>
  <c r="F49" i="1"/>
  <c r="F50" i="1"/>
  <c r="F51" i="1"/>
  <c r="F52" i="1"/>
  <c r="F55" i="1"/>
  <c r="F56" i="1"/>
  <c r="F57" i="1"/>
  <c r="F58" i="1"/>
  <c r="P30" i="1" l="1"/>
</calcChain>
</file>

<file path=xl/sharedStrings.xml><?xml version="1.0" encoding="utf-8"?>
<sst xmlns="http://schemas.openxmlformats.org/spreadsheetml/2006/main" count="163" uniqueCount="156">
  <si>
    <t xml:space="preserve">Neyde </t>
  </si>
  <si>
    <t>Toschi</t>
  </si>
  <si>
    <t xml:space="preserve">José </t>
  </si>
  <si>
    <t>Salgado</t>
  </si>
  <si>
    <t xml:space="preserve">Aurora </t>
  </si>
  <si>
    <t>Monici de Paula</t>
  </si>
  <si>
    <t>Yooko</t>
  </si>
  <si>
    <t>Yadoya Creta</t>
  </si>
  <si>
    <t>Maria Lucia</t>
  </si>
  <si>
    <t>da Silva</t>
  </si>
  <si>
    <t>Alvarina</t>
  </si>
  <si>
    <t>Magro</t>
  </si>
  <si>
    <t>Casilda</t>
  </si>
  <si>
    <t>Alves</t>
  </si>
  <si>
    <t xml:space="preserve">Arnaldo </t>
  </si>
  <si>
    <t>Silva</t>
  </si>
  <si>
    <t>Sandoval</t>
  </si>
  <si>
    <t xml:space="preserve">Maria do socorro </t>
  </si>
  <si>
    <t xml:space="preserve">Rafael </t>
  </si>
  <si>
    <t xml:space="preserve">Anna Adelia </t>
  </si>
  <si>
    <t>Fachina</t>
  </si>
  <si>
    <t>Maria Helena</t>
  </si>
  <si>
    <t>Nitsch</t>
  </si>
  <si>
    <t>Zoltan</t>
  </si>
  <si>
    <t>Guranyi</t>
  </si>
  <si>
    <t>Antônio</t>
  </si>
  <si>
    <t>Pereira</t>
  </si>
  <si>
    <t xml:space="preserve">Raimundo </t>
  </si>
  <si>
    <t>Batista de Paula</t>
  </si>
  <si>
    <t xml:space="preserve">Terezinha Maria  </t>
  </si>
  <si>
    <t>de Jesus Rosa</t>
  </si>
  <si>
    <t>Claudionor</t>
  </si>
  <si>
    <t>Moura da Silva</t>
  </si>
  <si>
    <t xml:space="preserve">Marlene </t>
  </si>
  <si>
    <t>Marinho de Campos</t>
  </si>
  <si>
    <t>Ulbaldo</t>
  </si>
  <si>
    <t>Fernandes</t>
  </si>
  <si>
    <t>Maria Aparecida</t>
  </si>
  <si>
    <t>Gonçalves Aguilar</t>
  </si>
  <si>
    <t>Maria Madalena</t>
  </si>
  <si>
    <t>de Oliveira</t>
  </si>
  <si>
    <t>Massaiku</t>
  </si>
  <si>
    <t>Sato</t>
  </si>
  <si>
    <t>Nilsa</t>
  </si>
  <si>
    <t>Musa Pareiko</t>
  </si>
  <si>
    <t>Maria</t>
  </si>
  <si>
    <t>Salete Panoni</t>
  </si>
  <si>
    <t xml:space="preserve">Paulo </t>
  </si>
  <si>
    <t>Fiedler</t>
  </si>
  <si>
    <t xml:space="preserve">Emilce </t>
  </si>
  <si>
    <t>Ferreira dos Santos</t>
  </si>
  <si>
    <t>João</t>
  </si>
  <si>
    <t>Fernandes Alves</t>
  </si>
  <si>
    <t xml:space="preserve">Antonia </t>
  </si>
  <si>
    <t>Bigoli</t>
  </si>
  <si>
    <t>Ivon</t>
  </si>
  <si>
    <t>Ribeiro Soares</t>
  </si>
  <si>
    <t>Iracy</t>
  </si>
  <si>
    <t>Menzy</t>
  </si>
  <si>
    <t>Hilda</t>
  </si>
  <si>
    <t>Schimanski</t>
  </si>
  <si>
    <t>Alzira</t>
  </si>
  <si>
    <t>Geraldo Inácio</t>
  </si>
  <si>
    <t xml:space="preserve">Terezinha </t>
  </si>
  <si>
    <t>de Jesus Inácio</t>
  </si>
  <si>
    <t>Aderbal</t>
  </si>
  <si>
    <t>Olga</t>
  </si>
  <si>
    <t xml:space="preserve">Mello Santos </t>
  </si>
  <si>
    <t>Anisia</t>
  </si>
  <si>
    <t>Rodrigues dos Santos</t>
  </si>
  <si>
    <t>Nicacio da Silva</t>
  </si>
  <si>
    <t xml:space="preserve">Ruth </t>
  </si>
  <si>
    <t xml:space="preserve">Aparecida Abreu </t>
  </si>
  <si>
    <t>Olga Kikue akimura</t>
  </si>
  <si>
    <t>Kikue akimura</t>
  </si>
  <si>
    <t xml:space="preserve">Jandira </t>
  </si>
  <si>
    <t>Pereira silva Pedroso</t>
  </si>
  <si>
    <t xml:space="preserve">Claudio </t>
  </si>
  <si>
    <t>Ragozini</t>
  </si>
  <si>
    <t xml:space="preserve">Divino </t>
  </si>
  <si>
    <t xml:space="preserve">de Oliveira </t>
  </si>
  <si>
    <t xml:space="preserve">Diva </t>
  </si>
  <si>
    <t>Felix da Silva</t>
  </si>
  <si>
    <t>de Lima Silva</t>
  </si>
  <si>
    <t xml:space="preserve">Kleber Xavier </t>
  </si>
  <si>
    <t>de Barros</t>
  </si>
  <si>
    <t xml:space="preserve">Luis Carlos </t>
  </si>
  <si>
    <t>Gomes de Lima</t>
  </si>
  <si>
    <t xml:space="preserve">Nelci </t>
  </si>
  <si>
    <t>L Viola</t>
  </si>
  <si>
    <t>Valdemar</t>
  </si>
  <si>
    <t>dos Reis</t>
  </si>
  <si>
    <t>Hilza</t>
  </si>
  <si>
    <t>Maria da Glória</t>
  </si>
  <si>
    <t>Oliveira Maciel</t>
  </si>
  <si>
    <t>Rosa Maria</t>
  </si>
  <si>
    <t>Boteon</t>
  </si>
  <si>
    <t>Haroldo</t>
  </si>
  <si>
    <t>Celia</t>
  </si>
  <si>
    <t>Cammarata</t>
  </si>
  <si>
    <t>Manoel</t>
  </si>
  <si>
    <t>de Jesus</t>
  </si>
  <si>
    <t>Salvador</t>
  </si>
  <si>
    <t>Fernanda</t>
  </si>
  <si>
    <t>Nunes</t>
  </si>
  <si>
    <t>meta_kcal</t>
  </si>
  <si>
    <t>peso_adm</t>
  </si>
  <si>
    <t>peso_ajustado_25</t>
  </si>
  <si>
    <t>meta_kcal_25</t>
  </si>
  <si>
    <t>hgs_adm</t>
  </si>
  <si>
    <t>astrf_adm</t>
  </si>
  <si>
    <t>astvl_adm</t>
  </si>
  <si>
    <t>sppb_adm</t>
  </si>
  <si>
    <t>barthel_adm</t>
  </si>
  <si>
    <t>hgs_alta</t>
  </si>
  <si>
    <t>astrf_alta</t>
  </si>
  <si>
    <t>astvl_alta</t>
  </si>
  <si>
    <t>sppb_alta</t>
  </si>
  <si>
    <t>barthel_alta</t>
  </si>
  <si>
    <t>da Silva da Rocha</t>
  </si>
  <si>
    <t xml:space="preserve">Elda </t>
  </si>
  <si>
    <t>id</t>
  </si>
  <si>
    <t>firstname</t>
  </si>
  <si>
    <t>lastname</t>
  </si>
  <si>
    <t>cons_kcal_day1</t>
  </si>
  <si>
    <t>cons_kcal_day2</t>
  </si>
  <si>
    <t>cons_kcal_day3</t>
  </si>
  <si>
    <t>cons_kcal_day4</t>
  </si>
  <si>
    <t>cons_kcal_day5</t>
  </si>
  <si>
    <t>cons_kcal_day6</t>
  </si>
  <si>
    <t>cons_kcal_day7</t>
  </si>
  <si>
    <t>cons_kcal_day8</t>
  </si>
  <si>
    <t>cons_kcal_day9</t>
  </si>
  <si>
    <t>cons_kcal_day10</t>
  </si>
  <si>
    <t>cons_kcal_day11</t>
  </si>
  <si>
    <t>cons_kcal_day12</t>
  </si>
  <si>
    <t>cons_kcal_day13</t>
  </si>
  <si>
    <t>cons_kcal_day14</t>
  </si>
  <si>
    <t>cons_kcal_day15</t>
  </si>
  <si>
    <t>cons_kcal_day16</t>
  </si>
  <si>
    <t>cons_kcal_day17</t>
  </si>
  <si>
    <t>cons_kcal_day18</t>
  </si>
  <si>
    <t>cons_kcal_day19</t>
  </si>
  <si>
    <t>cons_kcal_day20</t>
  </si>
  <si>
    <t>cons_kcal_day21</t>
  </si>
  <si>
    <t>cons_kcal_day22</t>
  </si>
  <si>
    <t>cons_kcal_day23</t>
  </si>
  <si>
    <t>cons_kcal_day24</t>
  </si>
  <si>
    <t>cons_kcal_day25</t>
  </si>
  <si>
    <t>cons_kcal_day26</t>
  </si>
  <si>
    <t>cons_kcal_day27</t>
  </si>
  <si>
    <t>cons_kcal_day28</t>
  </si>
  <si>
    <t>cons_kcal_day29</t>
  </si>
  <si>
    <t>cons_kcal_day30</t>
  </si>
  <si>
    <t>cons_kcal_day31</t>
  </si>
  <si>
    <t>cons_kcal_day32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</si>
</sst>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F1F1F"/>
      <name val="Calibri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rgb="FFD9E2F3"/>
      </patternFill>
    </fill>
    <fill>
      <patternFill patternType="solid">
        <fgColor theme="6" tint="0.39997558519241921"/>
        <bgColor rgb="FFD5A6BD"/>
      </patternFill>
    </fill>
    <fill>
      <patternFill patternType="solid">
        <fgColor theme="6" tint="0.39997558519241921"/>
        <bgColor rgb="FFCFE2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/>
    <xf numFmtId="1" fontId="0" fillId="4" borderId="1" xfId="0" applyNumberFormat="1" applyFill="1" applyBorder="1"/>
    <xf numFmtId="2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wrapText="1"/>
    </xf>
    <xf numFmtId="2" fontId="7" fillId="2" borderId="1" xfId="0" applyNumberFormat="1" applyFont="1" applyFill="1" applyBorder="1" applyAlignment="1">
      <alignment horizontal="center" wrapText="1"/>
    </xf>
    <xf numFmtId="2" fontId="7" fillId="8" borderId="1" xfId="0" applyNumberFormat="1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>
    <tabColor theme="3" tint="0.39997558519241921"/>
    <outlinePr showOutlineSymbols="0"/>
  </sheetPr>
  <dimension ref="A1:AW58"/>
  <sheetViews>
    <sheetView tabSelected="1" showOutlineSymbols="0" topLeftCell="A28" zoomScale="115" zoomScaleNormal="115" workbookViewId="0">
      <pane xSplit="1" topLeftCell="B1" activePane="topRight" state="frozen"/>
      <selection pane="topRight" activeCell="F43" sqref="F43"/>
    </sheetView>
  </sheetViews>
  <sheetFormatPr defaultColWidth="9.1796875" defaultRowHeight="14.5" outlineLevelRow="1" outlineLevelCol="1" x14ac:dyDescent="0.35"/>
  <cols>
    <col min="4" max="5" width="9.1796875" outlineLevel="1"/>
    <col min="41" max="41" width="9.1796875" customWidth="1"/>
    <col min="43" max="43" width="9.1796875" customWidth="1"/>
  </cols>
  <sheetData>
    <row r="1" spans="1:49" outlineLevel="1" x14ac:dyDescent="0.35">
      <c r="A1" s="1" t="s">
        <v>121</v>
      </c>
      <c r="B1" s="1" t="s">
        <v>122</v>
      </c>
      <c r="C1" s="1" t="s">
        <v>123</v>
      </c>
      <c r="D1" s="1" t="s">
        <v>106</v>
      </c>
      <c r="E1" s="1" t="s">
        <v>107</v>
      </c>
      <c r="F1" s="1" t="s">
        <v>105</v>
      </c>
      <c r="G1" s="1" t="s">
        <v>108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110</v>
      </c>
      <c r="AO1" s="1" t="s">
        <v>115</v>
      </c>
      <c r="AP1" s="1" t="s">
        <v>111</v>
      </c>
      <c r="AQ1" s="1" t="s">
        <v>116</v>
      </c>
      <c r="AR1" s="1" t="s">
        <v>109</v>
      </c>
      <c r="AS1" s="1" t="s">
        <v>114</v>
      </c>
      <c r="AT1" s="1" t="s">
        <v>112</v>
      </c>
      <c r="AU1" s="1" t="s">
        <v>117</v>
      </c>
      <c r="AV1" s="1" t="s">
        <v>113</v>
      </c>
      <c r="AW1" s="1" t="s">
        <v>118</v>
      </c>
    </row>
    <row r="2" spans="1:49" outlineLevel="1" x14ac:dyDescent="0.35">
      <c r="A2" s="2">
        <v>1</v>
      </c>
      <c r="B2" s="2" t="s">
        <v>0</v>
      </c>
      <c r="C2" s="2" t="s">
        <v>1</v>
      </c>
      <c r="D2" s="22">
        <v>45</v>
      </c>
      <c r="E2" s="8"/>
      <c r="F2" s="7">
        <f t="shared" ref="F2:F14" si="0">D2*30</f>
        <v>1350</v>
      </c>
      <c r="G2" s="8"/>
      <c r="H2" s="15">
        <v>882.7</v>
      </c>
      <c r="I2" s="15">
        <v>747.7</v>
      </c>
      <c r="J2" s="15">
        <v>792.90000000000009</v>
      </c>
      <c r="K2" s="15">
        <v>784.90000000000009</v>
      </c>
      <c r="L2" s="15">
        <v>189.2</v>
      </c>
      <c r="M2" s="15">
        <v>673.7</v>
      </c>
      <c r="N2" s="18">
        <v>542.5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0">
        <v>2.86</v>
      </c>
      <c r="AO2" s="19">
        <v>2.59</v>
      </c>
      <c r="AP2" s="10">
        <v>10.25</v>
      </c>
      <c r="AQ2" s="19">
        <v>5.85</v>
      </c>
      <c r="AR2" s="11">
        <v>17</v>
      </c>
      <c r="AS2" s="12">
        <v>14</v>
      </c>
      <c r="AT2" s="11">
        <v>7</v>
      </c>
      <c r="AU2" s="12">
        <v>7</v>
      </c>
      <c r="AV2" s="11">
        <v>100</v>
      </c>
      <c r="AW2" s="12">
        <v>100</v>
      </c>
    </row>
    <row r="3" spans="1:49" outlineLevel="1" x14ac:dyDescent="0.35">
      <c r="A3" s="2">
        <v>2</v>
      </c>
      <c r="B3" s="2" t="s">
        <v>2</v>
      </c>
      <c r="C3" s="2" t="s">
        <v>3</v>
      </c>
      <c r="D3" s="22">
        <v>78.8</v>
      </c>
      <c r="E3" s="8"/>
      <c r="F3" s="7">
        <f t="shared" si="0"/>
        <v>2364</v>
      </c>
      <c r="G3" s="8"/>
      <c r="H3" s="15">
        <v>337.34000000000003</v>
      </c>
      <c r="I3" s="15">
        <v>354.27</v>
      </c>
      <c r="J3" s="15">
        <v>391.34</v>
      </c>
      <c r="K3" s="15">
        <v>362.4</v>
      </c>
      <c r="L3" s="15">
        <v>568.74</v>
      </c>
      <c r="M3" s="15">
        <v>1157.7539999999999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0">
        <v>7.69</v>
      </c>
      <c r="AO3" s="19">
        <v>7.1</v>
      </c>
      <c r="AP3" s="10">
        <v>14.17</v>
      </c>
      <c r="AQ3" s="19">
        <v>12.28</v>
      </c>
      <c r="AR3" s="11">
        <v>35</v>
      </c>
      <c r="AS3" s="12">
        <v>35</v>
      </c>
      <c r="AT3" s="11">
        <v>12</v>
      </c>
      <c r="AU3" s="12">
        <v>11</v>
      </c>
      <c r="AV3" s="11">
        <v>100</v>
      </c>
      <c r="AW3" s="12">
        <v>100</v>
      </c>
    </row>
    <row r="4" spans="1:49" x14ac:dyDescent="0.35">
      <c r="A4" s="2">
        <v>3</v>
      </c>
      <c r="B4" s="2" t="s">
        <v>4</v>
      </c>
      <c r="C4" s="4" t="s">
        <v>5</v>
      </c>
      <c r="D4" s="22">
        <v>68.900000000000006</v>
      </c>
      <c r="E4" s="8"/>
      <c r="F4" s="7">
        <f t="shared" si="0"/>
        <v>2067</v>
      </c>
      <c r="G4" s="8"/>
      <c r="H4" s="15">
        <v>1507.3899999999999</v>
      </c>
      <c r="I4" s="15">
        <v>1356.55</v>
      </c>
      <c r="J4" s="15">
        <v>1179.3499999999999</v>
      </c>
      <c r="K4" s="15">
        <v>1169.5999999999999</v>
      </c>
      <c r="L4" s="15">
        <v>1135.79</v>
      </c>
      <c r="M4" s="15">
        <v>1052.17</v>
      </c>
      <c r="N4" s="15">
        <v>544.20000000000005</v>
      </c>
      <c r="O4" s="15"/>
      <c r="P4" s="15"/>
      <c r="Q4" s="15"/>
      <c r="R4" s="15"/>
      <c r="S4" s="15"/>
      <c r="T4" s="15"/>
      <c r="U4" s="15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0">
        <v>4.68</v>
      </c>
      <c r="AO4" s="19">
        <v>3.59</v>
      </c>
      <c r="AP4" s="10">
        <v>11.42</v>
      </c>
      <c r="AQ4" s="19">
        <v>11.11</v>
      </c>
      <c r="AR4" s="11">
        <v>18</v>
      </c>
      <c r="AS4" s="12">
        <v>19</v>
      </c>
      <c r="AT4" s="11">
        <v>6</v>
      </c>
      <c r="AU4" s="12">
        <v>7</v>
      </c>
      <c r="AV4" s="11">
        <v>95</v>
      </c>
      <c r="AW4" s="12">
        <v>90</v>
      </c>
    </row>
    <row r="5" spans="1:49" x14ac:dyDescent="0.35">
      <c r="A5" s="2">
        <v>4</v>
      </c>
      <c r="B5" s="2" t="s">
        <v>6</v>
      </c>
      <c r="C5" s="2" t="s">
        <v>7</v>
      </c>
      <c r="D5" s="22">
        <v>57</v>
      </c>
      <c r="E5" s="8"/>
      <c r="F5" s="7">
        <f t="shared" si="0"/>
        <v>1710</v>
      </c>
      <c r="G5" s="8"/>
      <c r="H5" s="15">
        <v>586.4</v>
      </c>
      <c r="I5" s="15">
        <v>586.4</v>
      </c>
      <c r="J5" s="15">
        <v>568.4</v>
      </c>
      <c r="K5" s="15">
        <v>283.2</v>
      </c>
      <c r="L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0">
        <v>2.5099999999999998</v>
      </c>
      <c r="AO5" s="19">
        <v>2.0099999999999998</v>
      </c>
      <c r="AP5" s="10">
        <v>9.42</v>
      </c>
      <c r="AQ5" s="19">
        <v>8.69</v>
      </c>
      <c r="AR5" s="11">
        <v>20</v>
      </c>
      <c r="AS5" s="12">
        <v>12</v>
      </c>
      <c r="AT5" s="11">
        <v>10</v>
      </c>
      <c r="AU5" s="12">
        <v>9</v>
      </c>
      <c r="AV5" s="11">
        <v>95</v>
      </c>
      <c r="AW5" s="12">
        <v>95</v>
      </c>
    </row>
    <row r="6" spans="1:49" x14ac:dyDescent="0.35">
      <c r="A6" s="2">
        <v>5</v>
      </c>
      <c r="B6" s="2" t="s">
        <v>8</v>
      </c>
      <c r="C6" s="2" t="s">
        <v>9</v>
      </c>
      <c r="D6" s="22">
        <v>66</v>
      </c>
      <c r="E6" s="8"/>
      <c r="F6" s="7">
        <f t="shared" si="0"/>
        <v>1980</v>
      </c>
      <c r="G6" s="8"/>
      <c r="H6" s="15">
        <v>870.3</v>
      </c>
      <c r="I6" s="15">
        <v>714</v>
      </c>
      <c r="J6" s="15">
        <v>697.6</v>
      </c>
      <c r="K6" s="13">
        <v>386.78199999999998</v>
      </c>
      <c r="L6" s="15">
        <v>673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0">
        <v>3.19</v>
      </c>
      <c r="AO6" s="19">
        <v>2.79</v>
      </c>
      <c r="AP6" s="10">
        <v>7.52</v>
      </c>
      <c r="AQ6" s="19">
        <v>6.59</v>
      </c>
      <c r="AR6" s="11">
        <v>12</v>
      </c>
      <c r="AS6" s="12">
        <v>14</v>
      </c>
      <c r="AT6" s="11">
        <v>11</v>
      </c>
      <c r="AU6" s="12">
        <v>11</v>
      </c>
      <c r="AV6" s="11">
        <v>100</v>
      </c>
      <c r="AW6" s="12">
        <v>100</v>
      </c>
    </row>
    <row r="7" spans="1:49" x14ac:dyDescent="0.35">
      <c r="A7" s="3">
        <v>6</v>
      </c>
      <c r="B7" s="3" t="s">
        <v>10</v>
      </c>
      <c r="C7" s="3" t="s">
        <v>11</v>
      </c>
      <c r="D7" s="22">
        <v>67</v>
      </c>
      <c r="E7" s="8"/>
      <c r="F7" s="7">
        <f t="shared" si="0"/>
        <v>2010</v>
      </c>
      <c r="G7" s="8"/>
      <c r="H7" s="16">
        <v>692.27</v>
      </c>
      <c r="I7" s="16">
        <v>1084.57</v>
      </c>
      <c r="J7" s="16">
        <v>432.47</v>
      </c>
      <c r="K7" s="16">
        <v>597.15</v>
      </c>
      <c r="L7" s="16">
        <v>617.44000000000005</v>
      </c>
      <c r="M7" s="16">
        <v>929.49599999999998</v>
      </c>
      <c r="N7" s="16">
        <v>1062.21</v>
      </c>
      <c r="O7" s="16">
        <v>1211.9000000000001</v>
      </c>
      <c r="P7" s="16">
        <v>1351.4570000000001</v>
      </c>
      <c r="Q7" s="16">
        <v>1660.9</v>
      </c>
      <c r="R7" s="16">
        <v>1268.9389999999999</v>
      </c>
      <c r="S7" s="16">
        <v>1505.547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0">
        <v>3.59</v>
      </c>
      <c r="AO7" s="19">
        <v>3.16</v>
      </c>
      <c r="AP7" s="10">
        <v>8.5500000000000007</v>
      </c>
      <c r="AQ7" s="19">
        <v>7.55</v>
      </c>
      <c r="AR7" s="11">
        <v>12</v>
      </c>
      <c r="AS7" s="12">
        <v>14</v>
      </c>
      <c r="AT7" s="11">
        <v>3</v>
      </c>
      <c r="AU7" s="12">
        <v>5</v>
      </c>
      <c r="AV7" s="11">
        <v>90</v>
      </c>
      <c r="AW7" s="12">
        <v>90</v>
      </c>
    </row>
    <row r="8" spans="1:49" x14ac:dyDescent="0.35">
      <c r="A8" s="2">
        <v>8</v>
      </c>
      <c r="B8" s="2" t="s">
        <v>12</v>
      </c>
      <c r="C8" s="2" t="s">
        <v>13</v>
      </c>
      <c r="D8" s="22">
        <v>53.9</v>
      </c>
      <c r="E8" s="8"/>
      <c r="F8" s="7">
        <f t="shared" si="0"/>
        <v>1617</v>
      </c>
      <c r="G8" s="8"/>
      <c r="H8" s="16">
        <v>699.69</v>
      </c>
      <c r="I8" s="16">
        <v>285.76</v>
      </c>
      <c r="J8" s="16">
        <v>354.62</v>
      </c>
      <c r="K8" s="16">
        <v>926.68499999999995</v>
      </c>
      <c r="L8" s="16">
        <v>752.78000000000009</v>
      </c>
      <c r="M8" s="16">
        <v>650.6</v>
      </c>
      <c r="N8" s="16">
        <v>605.86</v>
      </c>
      <c r="O8" s="16">
        <v>546.22699999999998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0">
        <v>4.6500000000000004</v>
      </c>
      <c r="AO8" s="19">
        <v>3.1</v>
      </c>
      <c r="AP8" s="10">
        <v>9.2899999999999991</v>
      </c>
      <c r="AQ8" s="19">
        <v>9.09</v>
      </c>
      <c r="AR8" s="11">
        <v>16</v>
      </c>
      <c r="AS8" s="12">
        <v>14</v>
      </c>
      <c r="AT8" s="11">
        <v>7</v>
      </c>
      <c r="AU8" s="12">
        <v>9</v>
      </c>
      <c r="AV8" s="11">
        <v>95</v>
      </c>
      <c r="AW8" s="12">
        <v>100</v>
      </c>
    </row>
    <row r="9" spans="1:49" x14ac:dyDescent="0.35">
      <c r="A9" s="2">
        <v>9</v>
      </c>
      <c r="B9" s="2" t="s">
        <v>14</v>
      </c>
      <c r="C9" s="2" t="s">
        <v>15</v>
      </c>
      <c r="D9" s="22">
        <v>79.5</v>
      </c>
      <c r="E9" s="8"/>
      <c r="F9" s="7">
        <f t="shared" si="0"/>
        <v>2385</v>
      </c>
      <c r="G9" s="8"/>
      <c r="H9" s="16">
        <v>1104.54</v>
      </c>
      <c r="I9" s="16">
        <v>788.6</v>
      </c>
      <c r="J9" s="16">
        <v>788.6</v>
      </c>
      <c r="K9" s="16">
        <v>1188.6199999999999</v>
      </c>
      <c r="L9" s="16">
        <v>1083.31</v>
      </c>
      <c r="M9" s="16">
        <v>774.74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0">
        <v>8.14</v>
      </c>
      <c r="AO9" s="19">
        <v>7.34</v>
      </c>
      <c r="AP9" s="10">
        <v>16.47</v>
      </c>
      <c r="AQ9" s="19">
        <v>16.29</v>
      </c>
      <c r="AR9" s="11">
        <v>35</v>
      </c>
      <c r="AS9" s="12">
        <v>26</v>
      </c>
      <c r="AT9" s="11">
        <v>10</v>
      </c>
      <c r="AU9" s="12">
        <v>11</v>
      </c>
      <c r="AV9" s="11">
        <v>100</v>
      </c>
      <c r="AW9" s="12">
        <v>100</v>
      </c>
    </row>
    <row r="10" spans="1:49" x14ac:dyDescent="0.35">
      <c r="A10" s="3">
        <v>10</v>
      </c>
      <c r="B10" s="3" t="s">
        <v>16</v>
      </c>
      <c r="C10" s="3" t="s">
        <v>9</v>
      </c>
      <c r="D10" s="22">
        <v>58</v>
      </c>
      <c r="E10" s="8"/>
      <c r="F10" s="7">
        <f t="shared" si="0"/>
        <v>1740</v>
      </c>
      <c r="G10" s="8"/>
      <c r="H10" s="16">
        <v>1362.4</v>
      </c>
      <c r="I10" s="16">
        <v>1322.6999999999998</v>
      </c>
      <c r="J10" s="16">
        <v>1074.5</v>
      </c>
      <c r="K10" s="16">
        <v>409.34000000000003</v>
      </c>
      <c r="L10" s="16">
        <v>755.36</v>
      </c>
      <c r="M10" s="16">
        <v>910.96</v>
      </c>
      <c r="N10" s="16">
        <v>1113.3</v>
      </c>
      <c r="O10" s="16">
        <v>886.45</v>
      </c>
      <c r="P10" s="16">
        <v>433.8</v>
      </c>
      <c r="Q10" s="16">
        <v>504.8</v>
      </c>
      <c r="R10" s="16">
        <v>312</v>
      </c>
      <c r="S10" s="16">
        <v>193.7</v>
      </c>
      <c r="T10" s="16">
        <v>163.69999999999999</v>
      </c>
      <c r="U10" s="16">
        <v>126.5</v>
      </c>
      <c r="V10" s="16">
        <v>655.20000000000005</v>
      </c>
      <c r="W10" s="16">
        <v>293.39999999999998</v>
      </c>
      <c r="X10" s="16">
        <v>74.400000000000006</v>
      </c>
      <c r="Y10" s="16">
        <v>85.22</v>
      </c>
      <c r="Z10" s="16">
        <v>250.39999999999998</v>
      </c>
      <c r="AA10" s="16">
        <v>495.7</v>
      </c>
      <c r="AB10" s="16">
        <v>142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0">
        <v>3.38</v>
      </c>
      <c r="AO10" s="19">
        <v>2.0699999999999998</v>
      </c>
      <c r="AP10" s="10">
        <v>10.33</v>
      </c>
      <c r="AQ10" s="19">
        <v>6.6</v>
      </c>
      <c r="AR10" s="11">
        <v>24</v>
      </c>
      <c r="AS10" s="12">
        <v>8</v>
      </c>
      <c r="AT10" s="11">
        <v>9</v>
      </c>
      <c r="AU10" s="12">
        <v>1</v>
      </c>
      <c r="AV10" s="11">
        <v>95</v>
      </c>
      <c r="AW10" s="12">
        <v>60</v>
      </c>
    </row>
    <row r="11" spans="1:49" x14ac:dyDescent="0.35">
      <c r="A11" s="2">
        <v>11</v>
      </c>
      <c r="B11" s="2" t="s">
        <v>17</v>
      </c>
      <c r="C11" s="2" t="s">
        <v>18</v>
      </c>
      <c r="D11" s="22">
        <v>60.5</v>
      </c>
      <c r="E11" s="8"/>
      <c r="F11" s="7">
        <f t="shared" si="0"/>
        <v>1815</v>
      </c>
      <c r="G11" s="8"/>
      <c r="H11" s="16">
        <v>969.8</v>
      </c>
      <c r="I11" s="16">
        <v>1134.749</v>
      </c>
      <c r="J11" s="16">
        <v>1290.6100000000001</v>
      </c>
      <c r="K11" s="16">
        <v>1081.68</v>
      </c>
      <c r="L11" s="16">
        <v>992.82600000000002</v>
      </c>
      <c r="M11" s="16">
        <v>1265.9000000000001</v>
      </c>
      <c r="N11" s="16">
        <v>899.49</v>
      </c>
      <c r="O11" s="16">
        <v>427.42</v>
      </c>
      <c r="P11" s="16">
        <v>580.64</v>
      </c>
      <c r="Q11" s="16">
        <v>890.26</v>
      </c>
      <c r="R11" s="16">
        <v>947.4</v>
      </c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0">
        <v>3.95</v>
      </c>
      <c r="AO11" s="19">
        <v>3.37</v>
      </c>
      <c r="AP11" s="10">
        <v>8.9700000000000006</v>
      </c>
      <c r="AQ11" s="19">
        <v>7.93</v>
      </c>
      <c r="AR11" s="11">
        <v>10</v>
      </c>
      <c r="AS11" s="12">
        <v>12</v>
      </c>
      <c r="AT11" s="11">
        <v>7</v>
      </c>
      <c r="AU11" s="12">
        <v>6</v>
      </c>
      <c r="AV11" s="11">
        <v>95</v>
      </c>
      <c r="AW11" s="12">
        <v>90</v>
      </c>
    </row>
    <row r="12" spans="1:49" x14ac:dyDescent="0.35">
      <c r="A12" s="2">
        <v>12</v>
      </c>
      <c r="B12" s="2" t="s">
        <v>19</v>
      </c>
      <c r="C12" s="2" t="s">
        <v>20</v>
      </c>
      <c r="D12" s="22">
        <v>58</v>
      </c>
      <c r="E12" s="8"/>
      <c r="F12" s="7">
        <f t="shared" si="0"/>
        <v>1740</v>
      </c>
      <c r="G12" s="8"/>
      <c r="H12" s="16">
        <v>1022.45</v>
      </c>
      <c r="I12" s="16">
        <v>509</v>
      </c>
      <c r="J12" s="16">
        <v>577.21</v>
      </c>
      <c r="K12" s="16">
        <v>740.93499999999995</v>
      </c>
      <c r="L12" s="16">
        <v>1202.6200000000001</v>
      </c>
      <c r="M12" s="16">
        <v>939.1</v>
      </c>
      <c r="N12" s="16">
        <v>740.93499999999995</v>
      </c>
      <c r="O12" s="15">
        <v>331.2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0">
        <v>4.1900000000000004</v>
      </c>
      <c r="AO12" s="19">
        <v>3.04</v>
      </c>
      <c r="AP12" s="10">
        <v>12.39</v>
      </c>
      <c r="AQ12" s="19">
        <v>9.7899999999999991</v>
      </c>
      <c r="AR12" s="11">
        <v>8</v>
      </c>
      <c r="AS12" s="12">
        <v>8</v>
      </c>
      <c r="AT12" s="11">
        <v>5</v>
      </c>
      <c r="AU12" s="12">
        <v>5</v>
      </c>
      <c r="AV12" s="11">
        <v>95</v>
      </c>
      <c r="AW12" s="12">
        <v>95</v>
      </c>
    </row>
    <row r="13" spans="1:49" outlineLevel="1" x14ac:dyDescent="0.35">
      <c r="A13" s="3">
        <v>13</v>
      </c>
      <c r="B13" s="3" t="s">
        <v>21</v>
      </c>
      <c r="C13" s="3" t="s">
        <v>22</v>
      </c>
      <c r="D13" s="22">
        <v>75</v>
      </c>
      <c r="E13" s="8"/>
      <c r="F13" s="7">
        <f t="shared" si="0"/>
        <v>2250</v>
      </c>
      <c r="G13" s="8"/>
      <c r="H13" s="16">
        <v>1178.92</v>
      </c>
      <c r="I13" s="16">
        <v>765.7639999999999</v>
      </c>
      <c r="J13" s="16">
        <v>1372.6980000000001</v>
      </c>
      <c r="K13" s="16">
        <v>445.2</v>
      </c>
      <c r="L13" s="16">
        <v>992.1</v>
      </c>
      <c r="M13" s="16">
        <v>653.02</v>
      </c>
      <c r="N13" s="16">
        <v>1078.2090000000001</v>
      </c>
      <c r="O13" s="16">
        <v>967.27299999999991</v>
      </c>
      <c r="P13" s="16">
        <v>512.09900000000005</v>
      </c>
      <c r="Q13" s="16">
        <v>915.3</v>
      </c>
      <c r="R13" s="16">
        <v>699.2</v>
      </c>
      <c r="S13" s="16">
        <v>890.83799999999997</v>
      </c>
      <c r="T13" s="16">
        <v>1307.46</v>
      </c>
      <c r="U13" s="16">
        <v>648.49399999999991</v>
      </c>
      <c r="V13" s="16">
        <f>SUM(V10:V12)</f>
        <v>655.20000000000005</v>
      </c>
      <c r="W13" s="16">
        <v>604.70000000000005</v>
      </c>
      <c r="X13" s="16">
        <v>531.6</v>
      </c>
      <c r="Y13" s="16">
        <v>471.9</v>
      </c>
      <c r="Z13" s="16">
        <v>471.9</v>
      </c>
      <c r="AA13" s="16">
        <v>1055.3</v>
      </c>
      <c r="AB13" s="16">
        <v>924.99399999999991</v>
      </c>
      <c r="AC13" s="16">
        <v>863.21400000000006</v>
      </c>
      <c r="AD13" s="16">
        <v>880.72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0">
        <v>4.26</v>
      </c>
      <c r="AO13" s="19">
        <v>3.79</v>
      </c>
      <c r="AP13" s="10">
        <v>13.49</v>
      </c>
      <c r="AQ13" s="19">
        <v>12.88</v>
      </c>
      <c r="AR13" s="11">
        <v>8</v>
      </c>
      <c r="AS13" s="12">
        <v>0</v>
      </c>
      <c r="AT13" s="11">
        <v>3</v>
      </c>
      <c r="AU13" s="12">
        <v>0</v>
      </c>
      <c r="AV13" s="11">
        <v>85</v>
      </c>
      <c r="AW13" s="12">
        <v>35</v>
      </c>
    </row>
    <row r="14" spans="1:49" outlineLevel="1" x14ac:dyDescent="0.35">
      <c r="A14" s="2">
        <v>14</v>
      </c>
      <c r="B14" s="2" t="s">
        <v>23</v>
      </c>
      <c r="C14" s="2" t="s">
        <v>24</v>
      </c>
      <c r="D14" s="22">
        <v>52</v>
      </c>
      <c r="E14" s="8"/>
      <c r="F14" s="7">
        <f t="shared" si="0"/>
        <v>1560</v>
      </c>
      <c r="G14" s="8"/>
      <c r="H14" s="16">
        <v>1071.31</v>
      </c>
      <c r="I14" s="16">
        <v>844.52</v>
      </c>
      <c r="J14" s="16">
        <v>844.52</v>
      </c>
      <c r="K14" s="16">
        <v>872.02</v>
      </c>
      <c r="L14" s="16">
        <v>1073.5999999999999</v>
      </c>
      <c r="M14" s="16">
        <v>673.64</v>
      </c>
      <c r="N14" s="16">
        <v>1011.748</v>
      </c>
      <c r="O14" s="16">
        <v>790.81</v>
      </c>
      <c r="P14" s="16">
        <v>1085.5</v>
      </c>
      <c r="Q14" s="16">
        <v>921.6</v>
      </c>
      <c r="R14" s="16">
        <v>133.69999999999999</v>
      </c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0">
        <v>2.79</v>
      </c>
      <c r="AO14" s="19">
        <v>2.4500000000000002</v>
      </c>
      <c r="AP14" s="10">
        <v>6.35</v>
      </c>
      <c r="AQ14" s="19">
        <v>4.03</v>
      </c>
      <c r="AR14" s="11">
        <v>20</v>
      </c>
      <c r="AS14" s="12">
        <v>22</v>
      </c>
      <c r="AT14" s="11">
        <v>5</v>
      </c>
      <c r="AU14" s="12">
        <v>2</v>
      </c>
      <c r="AV14" s="11">
        <v>90</v>
      </c>
      <c r="AW14" s="12">
        <v>95</v>
      </c>
    </row>
    <row r="15" spans="1:49" outlineLevel="1" x14ac:dyDescent="0.35">
      <c r="A15" s="2">
        <v>15</v>
      </c>
      <c r="B15" s="2" t="s">
        <v>25</v>
      </c>
      <c r="C15" s="2" t="s">
        <v>26</v>
      </c>
      <c r="D15" s="22">
        <v>83.9</v>
      </c>
      <c r="E15" s="9">
        <v>70.182500000000005</v>
      </c>
      <c r="F15" s="9">
        <v>2105.4750000000004</v>
      </c>
      <c r="G15" s="9">
        <v>2105.4750000000004</v>
      </c>
      <c r="H15" s="16">
        <v>673.59999999999991</v>
      </c>
      <c r="I15" s="16">
        <v>401.59999999999997</v>
      </c>
      <c r="J15" s="16">
        <v>401.59999999999997</v>
      </c>
      <c r="K15" s="16">
        <v>543.20000000000005</v>
      </c>
      <c r="L15" s="16">
        <v>1673.8999999999999</v>
      </c>
      <c r="M15" s="16">
        <v>1673.8999999999999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0">
        <v>4.26</v>
      </c>
      <c r="AO15" s="19">
        <v>3.52</v>
      </c>
      <c r="AP15" s="10">
        <v>10.119999999999999</v>
      </c>
      <c r="AQ15" s="19">
        <v>9.24</v>
      </c>
      <c r="AR15" s="11">
        <v>14</v>
      </c>
      <c r="AS15" s="12">
        <v>22</v>
      </c>
      <c r="AT15" s="11">
        <v>5</v>
      </c>
      <c r="AU15" s="12">
        <v>6</v>
      </c>
      <c r="AV15" s="11">
        <v>90</v>
      </c>
      <c r="AW15" s="12">
        <v>95</v>
      </c>
    </row>
    <row r="16" spans="1:49" x14ac:dyDescent="0.35">
      <c r="A16" s="2">
        <v>16</v>
      </c>
      <c r="B16" s="2" t="s">
        <v>27</v>
      </c>
      <c r="C16" s="5" t="s">
        <v>28</v>
      </c>
      <c r="D16" s="22">
        <v>55</v>
      </c>
      <c r="E16" s="8"/>
      <c r="F16" s="7">
        <f>D16*30</f>
        <v>1650</v>
      </c>
      <c r="G16" s="8"/>
      <c r="H16" s="16">
        <v>634.47</v>
      </c>
      <c r="I16" s="16">
        <v>585.77</v>
      </c>
      <c r="J16" s="16">
        <v>862.71499999999992</v>
      </c>
      <c r="K16" s="16">
        <v>552.79999999999995</v>
      </c>
      <c r="L16" s="16">
        <v>575.64</v>
      </c>
      <c r="M16" s="16">
        <v>755.16</v>
      </c>
      <c r="N16" s="16">
        <v>880.64</v>
      </c>
      <c r="O16" s="16">
        <v>785.27</v>
      </c>
      <c r="P16" s="16">
        <v>540.04</v>
      </c>
      <c r="Q16" s="16">
        <v>676.34999999999991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0">
        <v>5.58</v>
      </c>
      <c r="AO16" s="19">
        <v>5.54</v>
      </c>
      <c r="AP16" s="10">
        <v>12.77</v>
      </c>
      <c r="AQ16" s="19">
        <v>11.88</v>
      </c>
      <c r="AR16" s="11">
        <v>20</v>
      </c>
      <c r="AS16" s="12">
        <v>20</v>
      </c>
      <c r="AT16" s="11">
        <v>11</v>
      </c>
      <c r="AU16" s="12">
        <v>10</v>
      </c>
      <c r="AV16" s="11">
        <v>100</v>
      </c>
      <c r="AW16" s="12">
        <v>100</v>
      </c>
    </row>
    <row r="17" spans="1:49" x14ac:dyDescent="0.35">
      <c r="A17" s="2">
        <v>17</v>
      </c>
      <c r="B17" s="2" t="s">
        <v>29</v>
      </c>
      <c r="C17" s="2" t="s">
        <v>30</v>
      </c>
      <c r="D17" s="22">
        <v>69</v>
      </c>
      <c r="E17" s="8"/>
      <c r="F17" s="7">
        <f>D17*30</f>
        <v>2070</v>
      </c>
      <c r="G17" s="8"/>
      <c r="H17" s="16">
        <v>1098.2380000000001</v>
      </c>
      <c r="I17" s="16">
        <v>1281.8499999999999</v>
      </c>
      <c r="J17" s="16">
        <v>1383.614</v>
      </c>
      <c r="K17" s="16">
        <v>1545.3139999999999</v>
      </c>
      <c r="L17" s="16">
        <v>1344.9499999999998</v>
      </c>
      <c r="M17" s="15">
        <v>832.22800000000007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0">
        <v>5.92</v>
      </c>
      <c r="AO17" s="19">
        <v>5.55</v>
      </c>
      <c r="AP17" s="10">
        <v>12.33</v>
      </c>
      <c r="AQ17" s="19">
        <v>9.3699999999999992</v>
      </c>
      <c r="AR17" s="11">
        <v>24</v>
      </c>
      <c r="AS17" s="12">
        <v>24</v>
      </c>
      <c r="AT17" s="11">
        <v>6</v>
      </c>
      <c r="AU17" s="12">
        <v>7</v>
      </c>
      <c r="AV17" s="11">
        <v>100</v>
      </c>
      <c r="AW17" s="12">
        <v>95</v>
      </c>
    </row>
    <row r="18" spans="1:49" x14ac:dyDescent="0.35">
      <c r="A18" s="3">
        <v>18</v>
      </c>
      <c r="B18" s="3" t="s">
        <v>31</v>
      </c>
      <c r="C18" s="3" t="s">
        <v>32</v>
      </c>
      <c r="D18" s="22">
        <v>70</v>
      </c>
      <c r="E18" s="8"/>
      <c r="F18" s="7">
        <f>D18*30</f>
        <v>2100</v>
      </c>
      <c r="G18" s="8"/>
      <c r="H18" s="16">
        <v>1854.6</v>
      </c>
      <c r="I18" s="16">
        <v>1548.8</v>
      </c>
      <c r="J18" s="16">
        <v>1738.3999999999999</v>
      </c>
      <c r="K18" s="16">
        <v>1791.4</v>
      </c>
      <c r="L18" s="16">
        <v>1738.3999999999999</v>
      </c>
      <c r="M18" s="16">
        <v>1518.25</v>
      </c>
      <c r="N18" s="16">
        <v>1411.1</v>
      </c>
      <c r="O18" s="16">
        <v>1778.3</v>
      </c>
      <c r="P18" s="16">
        <v>1396.85</v>
      </c>
      <c r="Q18" s="16">
        <v>1539.8000000000002</v>
      </c>
      <c r="R18" s="16">
        <v>1653.5</v>
      </c>
      <c r="S18" s="16">
        <v>1595.35</v>
      </c>
      <c r="T18" s="16">
        <v>1457.65</v>
      </c>
      <c r="U18" s="16">
        <v>1456.8000000000002</v>
      </c>
      <c r="V18" s="16">
        <v>659</v>
      </c>
      <c r="W18" s="16">
        <v>659</v>
      </c>
      <c r="X18" s="16">
        <v>659</v>
      </c>
      <c r="Y18" s="16">
        <v>1858.4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20">
        <v>6.49</v>
      </c>
      <c r="AO18" s="19">
        <v>4.8099999999999996</v>
      </c>
      <c r="AP18" s="20">
        <v>9.2200000000000006</v>
      </c>
      <c r="AQ18" s="19">
        <v>8.1199999999999992</v>
      </c>
      <c r="AR18" s="11">
        <v>28</v>
      </c>
      <c r="AS18" s="12">
        <v>28</v>
      </c>
      <c r="AT18" s="11">
        <v>8</v>
      </c>
      <c r="AU18" s="12">
        <v>8</v>
      </c>
      <c r="AV18" s="11">
        <v>95</v>
      </c>
      <c r="AW18" s="12">
        <v>100</v>
      </c>
    </row>
    <row r="19" spans="1:49" x14ac:dyDescent="0.35">
      <c r="A19" s="2">
        <v>19</v>
      </c>
      <c r="B19" s="2" t="s">
        <v>33</v>
      </c>
      <c r="C19" s="2" t="s">
        <v>34</v>
      </c>
      <c r="D19" s="22">
        <v>45</v>
      </c>
      <c r="E19" s="8"/>
      <c r="F19" s="7">
        <f>D19*30</f>
        <v>1350</v>
      </c>
      <c r="G19" s="8"/>
      <c r="H19" s="16">
        <v>980.81</v>
      </c>
      <c r="I19" s="16">
        <v>959.79</v>
      </c>
      <c r="J19" s="16">
        <v>982.74</v>
      </c>
      <c r="K19" s="16">
        <v>1096.3</v>
      </c>
      <c r="L19" s="16">
        <v>1498.55</v>
      </c>
      <c r="M19" s="16">
        <v>1041.99</v>
      </c>
      <c r="N19" s="16">
        <v>1139.58</v>
      </c>
      <c r="O19" s="16">
        <v>892.54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0">
        <v>2.69</v>
      </c>
      <c r="AO19" s="19">
        <v>2.02</v>
      </c>
      <c r="AP19" s="10">
        <v>6.28</v>
      </c>
      <c r="AQ19" s="19">
        <v>5.22</v>
      </c>
      <c r="AR19" s="11">
        <v>28</v>
      </c>
      <c r="AS19" s="12">
        <v>16</v>
      </c>
      <c r="AT19" s="11">
        <v>8</v>
      </c>
      <c r="AU19" s="12">
        <v>4</v>
      </c>
      <c r="AV19" s="11">
        <v>95</v>
      </c>
      <c r="AW19" s="12">
        <v>95</v>
      </c>
    </row>
    <row r="20" spans="1:49" x14ac:dyDescent="0.35">
      <c r="A20" s="3">
        <v>20</v>
      </c>
      <c r="B20" s="3" t="s">
        <v>35</v>
      </c>
      <c r="C20" s="3" t="s">
        <v>36</v>
      </c>
      <c r="D20" s="22">
        <v>113</v>
      </c>
      <c r="E20" s="9">
        <v>82.4375</v>
      </c>
      <c r="F20" s="9">
        <v>2473.125</v>
      </c>
      <c r="G20" s="9">
        <v>2473.125</v>
      </c>
      <c r="H20" s="16">
        <v>1175.5900000000001</v>
      </c>
      <c r="I20" s="16">
        <v>883.38</v>
      </c>
      <c r="J20" s="16">
        <v>1055.5300000000002</v>
      </c>
      <c r="K20" s="16">
        <v>660.45</v>
      </c>
      <c r="L20" s="16">
        <v>885.46</v>
      </c>
      <c r="M20" s="16">
        <v>1016.87</v>
      </c>
      <c r="N20" s="16">
        <v>1568.8000000000002</v>
      </c>
      <c r="O20" s="16">
        <v>1335.46</v>
      </c>
      <c r="P20" s="16">
        <v>1172.45</v>
      </c>
      <c r="Q20" s="16">
        <v>1391.6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0">
        <v>14.94</v>
      </c>
      <c r="AO20" s="19">
        <v>13.77</v>
      </c>
      <c r="AP20" s="10">
        <v>31</v>
      </c>
      <c r="AQ20" s="19">
        <v>30.27</v>
      </c>
      <c r="AR20" s="11">
        <v>32</v>
      </c>
      <c r="AS20" s="12">
        <v>32</v>
      </c>
      <c r="AT20" s="11">
        <v>5</v>
      </c>
      <c r="AU20" s="12">
        <v>3</v>
      </c>
      <c r="AV20" s="11">
        <v>100</v>
      </c>
      <c r="AW20" s="12">
        <v>90</v>
      </c>
    </row>
    <row r="21" spans="1:49" x14ac:dyDescent="0.35">
      <c r="A21" s="2">
        <v>21</v>
      </c>
      <c r="B21" s="2" t="s">
        <v>37</v>
      </c>
      <c r="C21" s="5" t="s">
        <v>38</v>
      </c>
      <c r="D21" s="22">
        <v>71</v>
      </c>
      <c r="E21" s="8"/>
      <c r="F21" s="7">
        <f t="shared" ref="F21:F30" si="1">D21*30</f>
        <v>2130</v>
      </c>
      <c r="G21" s="8"/>
      <c r="H21" s="15">
        <v>237.2</v>
      </c>
      <c r="I21" s="16">
        <v>692</v>
      </c>
      <c r="J21" s="16">
        <v>590.4</v>
      </c>
      <c r="K21" s="16">
        <v>590.4</v>
      </c>
      <c r="L21" s="16">
        <v>590.4</v>
      </c>
      <c r="M21" s="16">
        <v>192.2</v>
      </c>
      <c r="N21" s="16">
        <v>1093.9000000000001</v>
      </c>
      <c r="O21" s="16">
        <v>1342.5500000000002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0">
        <v>6.78</v>
      </c>
      <c r="AO21" s="19">
        <v>6.03</v>
      </c>
      <c r="AP21" s="10">
        <v>15.37</v>
      </c>
      <c r="AQ21" s="19">
        <v>13</v>
      </c>
      <c r="AR21" s="11">
        <v>18</v>
      </c>
      <c r="AS21" s="12">
        <v>16</v>
      </c>
      <c r="AT21" s="11">
        <v>7</v>
      </c>
      <c r="AU21" s="12">
        <v>8</v>
      </c>
      <c r="AV21" s="11">
        <v>100</v>
      </c>
      <c r="AW21" s="12">
        <v>100</v>
      </c>
    </row>
    <row r="22" spans="1:49" x14ac:dyDescent="0.35">
      <c r="A22" s="3">
        <v>22</v>
      </c>
      <c r="B22" s="3" t="s">
        <v>39</v>
      </c>
      <c r="C22" s="3" t="s">
        <v>40</v>
      </c>
      <c r="D22" s="22">
        <v>42.2</v>
      </c>
      <c r="E22" s="8"/>
      <c r="F22" s="7">
        <f t="shared" si="1"/>
        <v>1266</v>
      </c>
      <c r="G22" s="8"/>
      <c r="H22" s="16">
        <v>1365.6</v>
      </c>
      <c r="I22" s="16">
        <v>1497.1999999999998</v>
      </c>
      <c r="J22" s="16">
        <v>1263.6799999999998</v>
      </c>
      <c r="K22" s="16">
        <v>992.95</v>
      </c>
      <c r="L22" s="16">
        <v>1393.4999999999998</v>
      </c>
      <c r="M22" s="16">
        <v>595.79999999999995</v>
      </c>
      <c r="N22" s="16">
        <v>1683.5</v>
      </c>
      <c r="O22" s="16">
        <v>1189.5</v>
      </c>
      <c r="P22" s="16">
        <v>1484.8</v>
      </c>
      <c r="Q22" s="16">
        <f>SUM(Q19:Q21)</f>
        <v>1391.6</v>
      </c>
      <c r="R22" s="16">
        <v>1221.4000000000001</v>
      </c>
      <c r="S22" s="16">
        <v>1221.4000000000001</v>
      </c>
      <c r="T22" s="16">
        <v>760.59999999999991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0">
        <v>3.38</v>
      </c>
      <c r="AO22" s="19">
        <v>3.37</v>
      </c>
      <c r="AP22" s="10">
        <v>9.0399999999999991</v>
      </c>
      <c r="AQ22" s="19">
        <v>7.29</v>
      </c>
      <c r="AR22" s="11">
        <v>14</v>
      </c>
      <c r="AS22" s="12">
        <v>14</v>
      </c>
      <c r="AT22" s="11">
        <v>11</v>
      </c>
      <c r="AU22" s="12">
        <v>10</v>
      </c>
      <c r="AV22" s="11">
        <v>100</v>
      </c>
      <c r="AW22" s="12">
        <v>100</v>
      </c>
    </row>
    <row r="23" spans="1:49" x14ac:dyDescent="0.35">
      <c r="A23" s="3">
        <v>23</v>
      </c>
      <c r="B23" s="3" t="s">
        <v>41</v>
      </c>
      <c r="C23" s="3" t="s">
        <v>42</v>
      </c>
      <c r="D23" s="22">
        <v>64.5</v>
      </c>
      <c r="E23" s="8"/>
      <c r="F23" s="7">
        <f t="shared" si="1"/>
        <v>1935</v>
      </c>
      <c r="G23" s="8"/>
      <c r="H23" s="16">
        <v>1216.97</v>
      </c>
      <c r="I23" s="16">
        <v>1471.25</v>
      </c>
      <c r="J23" s="16">
        <v>1574.9</v>
      </c>
      <c r="K23" s="16">
        <v>1496.146</v>
      </c>
      <c r="L23" s="16">
        <v>1427.32</v>
      </c>
      <c r="M23" s="16">
        <v>1248.3</v>
      </c>
      <c r="N23" s="16">
        <v>1498.8</v>
      </c>
      <c r="O23" s="16">
        <v>1462.5500000000002</v>
      </c>
      <c r="P23" s="16">
        <v>1415.6</v>
      </c>
      <c r="Q23" s="16">
        <v>1387.5</v>
      </c>
      <c r="R23" s="16">
        <v>1566.4</v>
      </c>
      <c r="S23" s="16">
        <v>1332.4</v>
      </c>
      <c r="T23" s="16">
        <v>1563</v>
      </c>
      <c r="U23" s="16">
        <v>1456.1</v>
      </c>
      <c r="V23" s="16">
        <v>1584.55</v>
      </c>
      <c r="W23" s="16">
        <v>1302.5999999999999</v>
      </c>
      <c r="X23" s="16">
        <v>1433.65</v>
      </c>
      <c r="Y23" s="16">
        <v>1294.5</v>
      </c>
      <c r="Z23" s="16">
        <v>1223.3</v>
      </c>
      <c r="AA23" s="16">
        <v>1251.8</v>
      </c>
      <c r="AB23" s="16">
        <v>1196.5999999999999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0">
        <v>7.06</v>
      </c>
      <c r="AO23" s="19">
        <v>5.29</v>
      </c>
      <c r="AP23" s="10">
        <v>13.45</v>
      </c>
      <c r="AQ23" s="19">
        <v>11.68</v>
      </c>
      <c r="AR23" s="11">
        <v>30</v>
      </c>
      <c r="AS23" s="12">
        <v>30</v>
      </c>
      <c r="AT23" s="11">
        <v>7</v>
      </c>
      <c r="AU23" s="12">
        <v>7</v>
      </c>
      <c r="AV23" s="11">
        <v>100</v>
      </c>
      <c r="AW23" s="12">
        <v>100</v>
      </c>
    </row>
    <row r="24" spans="1:49" x14ac:dyDescent="0.35">
      <c r="A24" s="2">
        <v>24</v>
      </c>
      <c r="B24" s="2" t="s">
        <v>43</v>
      </c>
      <c r="C24" s="2" t="s">
        <v>44</v>
      </c>
      <c r="D24" s="22">
        <v>66</v>
      </c>
      <c r="E24" s="8"/>
      <c r="F24" s="7">
        <f t="shared" si="1"/>
        <v>1980</v>
      </c>
      <c r="G24" s="8"/>
      <c r="H24" s="16">
        <v>1193.6999999999998</v>
      </c>
      <c r="I24" s="16">
        <v>987.2</v>
      </c>
      <c r="J24" s="16">
        <v>1075.444</v>
      </c>
      <c r="K24" s="16">
        <v>1334.7</v>
      </c>
      <c r="L24" s="16">
        <v>682.6</v>
      </c>
      <c r="M24" s="16">
        <v>653.70399999999995</v>
      </c>
      <c r="N24" s="16">
        <v>613.20000000000005</v>
      </c>
      <c r="O24" s="16">
        <v>307.60000000000002</v>
      </c>
      <c r="P24" s="16">
        <v>905.29</v>
      </c>
      <c r="Q24" s="16">
        <v>1273.49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0">
        <v>6.98</v>
      </c>
      <c r="AO24" s="19">
        <v>6.21</v>
      </c>
      <c r="AP24" s="10">
        <v>12.24</v>
      </c>
      <c r="AQ24" s="19">
        <v>10.79</v>
      </c>
      <c r="AR24" s="11">
        <v>12</v>
      </c>
      <c r="AS24" s="12">
        <v>10</v>
      </c>
      <c r="AT24" s="11">
        <v>2</v>
      </c>
      <c r="AU24" s="12">
        <v>3</v>
      </c>
      <c r="AV24" s="11">
        <v>75</v>
      </c>
      <c r="AW24" s="12">
        <v>75</v>
      </c>
    </row>
    <row r="25" spans="1:49" x14ac:dyDescent="0.35">
      <c r="A25" s="3">
        <v>25</v>
      </c>
      <c r="B25" s="3" t="s">
        <v>45</v>
      </c>
      <c r="C25" s="3" t="s">
        <v>46</v>
      </c>
      <c r="D25" s="22">
        <v>44.5</v>
      </c>
      <c r="E25" s="8"/>
      <c r="F25" s="7">
        <f t="shared" si="1"/>
        <v>1335</v>
      </c>
      <c r="G25" s="8"/>
      <c r="H25" s="16">
        <v>807.77</v>
      </c>
      <c r="I25" s="16">
        <v>599</v>
      </c>
      <c r="J25" s="16">
        <v>716.75</v>
      </c>
      <c r="K25" s="16">
        <v>531.86</v>
      </c>
      <c r="L25" s="16">
        <v>1040.3200000000002</v>
      </c>
      <c r="M25" s="16">
        <v>698.63300000000004</v>
      </c>
      <c r="N25" s="16">
        <v>898.02</v>
      </c>
      <c r="O25" s="16">
        <v>322.2</v>
      </c>
      <c r="P25" s="16">
        <v>749.00399999999991</v>
      </c>
      <c r="Q25" s="16">
        <v>749.80000000000007</v>
      </c>
      <c r="R25" s="16">
        <v>678.70399999999995</v>
      </c>
      <c r="S25" s="16">
        <v>725.36159999999995</v>
      </c>
      <c r="T25" s="16">
        <v>611.12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0">
        <v>5.41</v>
      </c>
      <c r="AO25" s="19">
        <v>3.92</v>
      </c>
      <c r="AP25" s="10">
        <v>10.45</v>
      </c>
      <c r="AQ25" s="19">
        <v>9.16</v>
      </c>
      <c r="AR25" s="11">
        <v>18</v>
      </c>
      <c r="AS25" s="12">
        <v>18</v>
      </c>
      <c r="AT25" s="11">
        <v>8</v>
      </c>
      <c r="AU25" s="12">
        <v>9</v>
      </c>
      <c r="AV25" s="11">
        <v>100</v>
      </c>
      <c r="AW25" s="12">
        <v>100</v>
      </c>
    </row>
    <row r="26" spans="1:49" x14ac:dyDescent="0.35">
      <c r="A26" s="3">
        <v>26</v>
      </c>
      <c r="B26" s="2" t="s">
        <v>47</v>
      </c>
      <c r="C26" s="2" t="s">
        <v>48</v>
      </c>
      <c r="D26" s="22">
        <v>55.8</v>
      </c>
      <c r="E26" s="8"/>
      <c r="F26" s="7">
        <f t="shared" si="1"/>
        <v>1674</v>
      </c>
      <c r="G26" s="8"/>
      <c r="H26" s="15">
        <v>1249.1999999999998</v>
      </c>
      <c r="I26" s="15">
        <v>1610</v>
      </c>
      <c r="J26" s="15">
        <v>1599.1</v>
      </c>
      <c r="K26" s="15">
        <v>1022.7</v>
      </c>
      <c r="L26" s="15">
        <v>1400.8999999999999</v>
      </c>
      <c r="M26" s="15">
        <v>1720.6999999999998</v>
      </c>
      <c r="N26" s="15">
        <v>1050.8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0">
        <v>3.63</v>
      </c>
      <c r="AO26" s="19">
        <v>3.61</v>
      </c>
      <c r="AP26" s="10">
        <v>9.5</v>
      </c>
      <c r="AQ26" s="19">
        <v>9.07</v>
      </c>
      <c r="AR26" s="11">
        <v>18</v>
      </c>
      <c r="AS26" s="12">
        <v>18</v>
      </c>
      <c r="AT26" s="11">
        <v>4</v>
      </c>
      <c r="AU26" s="12">
        <v>4</v>
      </c>
      <c r="AV26" s="11">
        <v>95</v>
      </c>
      <c r="AW26" s="12">
        <v>80</v>
      </c>
    </row>
    <row r="27" spans="1:49" outlineLevel="1" x14ac:dyDescent="0.35">
      <c r="A27" s="3">
        <v>27</v>
      </c>
      <c r="B27" s="2" t="s">
        <v>49</v>
      </c>
      <c r="C27" s="2" t="s">
        <v>50</v>
      </c>
      <c r="D27" s="22">
        <v>73</v>
      </c>
      <c r="E27" s="8"/>
      <c r="F27" s="7">
        <f t="shared" si="1"/>
        <v>2190</v>
      </c>
      <c r="G27" s="8"/>
      <c r="H27" s="15">
        <v>905.8</v>
      </c>
      <c r="I27" s="15">
        <v>925</v>
      </c>
      <c r="J27" s="15">
        <v>645.70000000000005</v>
      </c>
      <c r="K27" s="15">
        <v>933.56999999999994</v>
      </c>
      <c r="L27" s="15">
        <v>1265.57</v>
      </c>
      <c r="M27" s="15">
        <v>432.2</v>
      </c>
      <c r="N27" s="15">
        <v>397.4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0">
        <v>4.3899999999999997</v>
      </c>
      <c r="AO27" s="19">
        <v>3.77</v>
      </c>
      <c r="AP27" s="10">
        <v>8.25</v>
      </c>
      <c r="AQ27" s="19">
        <v>7.84</v>
      </c>
      <c r="AR27" s="11">
        <v>20</v>
      </c>
      <c r="AS27" s="12">
        <v>20</v>
      </c>
      <c r="AT27" s="11">
        <v>4</v>
      </c>
      <c r="AU27" s="12">
        <v>6</v>
      </c>
      <c r="AV27" s="11">
        <v>95</v>
      </c>
      <c r="AW27" s="12">
        <v>95</v>
      </c>
    </row>
    <row r="28" spans="1:49" outlineLevel="1" x14ac:dyDescent="0.35">
      <c r="A28" s="3">
        <v>28</v>
      </c>
      <c r="B28" s="3" t="s">
        <v>51</v>
      </c>
      <c r="C28" s="3" t="s">
        <v>52</v>
      </c>
      <c r="D28" s="22">
        <v>73</v>
      </c>
      <c r="E28" s="8"/>
      <c r="F28" s="7">
        <f t="shared" si="1"/>
        <v>2190</v>
      </c>
      <c r="G28" s="8"/>
      <c r="H28" s="16">
        <v>1435.56</v>
      </c>
      <c r="I28" s="16">
        <v>1498.6999999999998</v>
      </c>
      <c r="J28" s="16">
        <v>1519.96</v>
      </c>
      <c r="K28" s="16">
        <v>590.4</v>
      </c>
      <c r="L28" s="16">
        <v>590.4</v>
      </c>
      <c r="M28" s="16">
        <v>590.4</v>
      </c>
      <c r="N28" s="16">
        <v>559.79999999999995</v>
      </c>
      <c r="O28" s="16">
        <v>1442.6999999999998</v>
      </c>
      <c r="P28" s="16">
        <f>SUM(P25:P27)</f>
        <v>749.00399999999991</v>
      </c>
      <c r="Q28" s="16">
        <v>590.4</v>
      </c>
      <c r="R28" s="16">
        <v>1251.6999999999998</v>
      </c>
      <c r="S28" s="16">
        <v>1587.84</v>
      </c>
      <c r="T28" s="16">
        <v>1568.2599999999998</v>
      </c>
      <c r="U28" s="16">
        <v>1676.11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0">
        <v>5.81</v>
      </c>
      <c r="AO28" s="19">
        <v>4.71</v>
      </c>
      <c r="AP28" s="10">
        <v>19.97</v>
      </c>
      <c r="AQ28" s="19">
        <v>16.489999999999998</v>
      </c>
      <c r="AR28" s="11">
        <v>24</v>
      </c>
      <c r="AS28" s="12">
        <v>28</v>
      </c>
      <c r="AT28" s="11">
        <v>3</v>
      </c>
      <c r="AU28" s="12">
        <v>7</v>
      </c>
      <c r="AV28" s="11">
        <v>90</v>
      </c>
      <c r="AW28" s="12">
        <v>90</v>
      </c>
    </row>
    <row r="29" spans="1:49" outlineLevel="1" x14ac:dyDescent="0.35">
      <c r="A29" s="3">
        <v>29</v>
      </c>
      <c r="B29" s="2" t="s">
        <v>53</v>
      </c>
      <c r="C29" s="2" t="s">
        <v>54</v>
      </c>
      <c r="D29" s="22">
        <v>60</v>
      </c>
      <c r="E29" s="8"/>
      <c r="F29" s="7">
        <f t="shared" si="1"/>
        <v>1800</v>
      </c>
      <c r="G29" s="8"/>
      <c r="H29" s="16">
        <v>1329.3</v>
      </c>
      <c r="I29" s="16">
        <v>1010.8000000000001</v>
      </c>
      <c r="J29" s="16">
        <v>1058.681</v>
      </c>
      <c r="K29" s="16">
        <v>1404.38</v>
      </c>
      <c r="L29" s="16">
        <v>1613.8</v>
      </c>
      <c r="M29" s="16">
        <v>1625.28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0">
        <v>6.91</v>
      </c>
      <c r="AO29" s="19">
        <v>5.75</v>
      </c>
      <c r="AP29" s="10">
        <v>15.01</v>
      </c>
      <c r="AQ29" s="19">
        <v>13.7</v>
      </c>
      <c r="AR29" s="11">
        <v>14</v>
      </c>
      <c r="AS29" s="12">
        <v>24</v>
      </c>
      <c r="AT29" s="11">
        <v>8</v>
      </c>
      <c r="AU29" s="12">
        <v>6</v>
      </c>
      <c r="AV29" s="11">
        <v>100</v>
      </c>
      <c r="AW29" s="12">
        <v>95</v>
      </c>
    </row>
    <row r="30" spans="1:49" x14ac:dyDescent="0.35">
      <c r="A30" s="3">
        <v>30</v>
      </c>
      <c r="B30" s="3" t="s">
        <v>55</v>
      </c>
      <c r="C30" s="3" t="s">
        <v>56</v>
      </c>
      <c r="D30" s="22">
        <v>63</v>
      </c>
      <c r="E30" s="8"/>
      <c r="F30" s="7">
        <f t="shared" si="1"/>
        <v>1890</v>
      </c>
      <c r="G30" s="8"/>
      <c r="H30" s="16">
        <v>1080.1600000000001</v>
      </c>
      <c r="I30" s="16">
        <v>736.66000000000008</v>
      </c>
      <c r="J30" s="16">
        <v>1053.3000000000002</v>
      </c>
      <c r="K30" s="16">
        <v>861.12</v>
      </c>
      <c r="L30" s="16">
        <v>1170.7640000000001</v>
      </c>
      <c r="M30" s="16">
        <v>758.77</v>
      </c>
      <c r="N30" s="16">
        <v>727.26</v>
      </c>
      <c r="O30" s="16">
        <v>890.67</v>
      </c>
      <c r="P30" s="16">
        <f>SUM(P27:P29)</f>
        <v>749.00399999999991</v>
      </c>
      <c r="Q30" s="16">
        <v>810.99</v>
      </c>
      <c r="R30" s="16">
        <v>728.07999999999993</v>
      </c>
      <c r="S30" s="16">
        <v>624.5</v>
      </c>
      <c r="T30" s="16">
        <v>1288.2060000000001</v>
      </c>
      <c r="U30" s="16">
        <v>618.12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0">
        <v>4.53</v>
      </c>
      <c r="AO30" s="19">
        <v>2.76</v>
      </c>
      <c r="AP30" s="10">
        <v>8.5399999999999991</v>
      </c>
      <c r="AQ30" s="19">
        <v>7.59</v>
      </c>
      <c r="AR30" s="11">
        <v>12</v>
      </c>
      <c r="AS30" s="12">
        <v>20</v>
      </c>
      <c r="AT30" s="11">
        <v>4</v>
      </c>
      <c r="AU30" s="12">
        <v>4</v>
      </c>
      <c r="AV30" s="11">
        <v>90</v>
      </c>
      <c r="AW30" s="12">
        <v>90</v>
      </c>
    </row>
    <row r="31" spans="1:49" x14ac:dyDescent="0.35">
      <c r="A31" s="2">
        <v>31</v>
      </c>
      <c r="B31" s="2" t="s">
        <v>57</v>
      </c>
      <c r="C31" s="2" t="s">
        <v>58</v>
      </c>
      <c r="D31" s="22">
        <v>67</v>
      </c>
      <c r="E31" s="9">
        <v>54.557499999999997</v>
      </c>
      <c r="F31" s="9">
        <v>1636.7249999999999</v>
      </c>
      <c r="G31" s="9">
        <v>1636.7249999999999</v>
      </c>
      <c r="H31" s="16">
        <v>1253.26</v>
      </c>
      <c r="I31" s="16">
        <v>807.35329999999999</v>
      </c>
      <c r="J31" s="16">
        <v>999.62000000000012</v>
      </c>
      <c r="K31" s="16">
        <v>1090.1799999999998</v>
      </c>
      <c r="L31" s="16">
        <v>878.3</v>
      </c>
      <c r="M31" s="16">
        <v>591.79999999999995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0">
        <v>3.78</v>
      </c>
      <c r="AO31" s="19">
        <v>3.42</v>
      </c>
      <c r="AP31" s="10">
        <v>11.64</v>
      </c>
      <c r="AQ31" s="19">
        <v>9.26</v>
      </c>
      <c r="AR31" s="11">
        <v>16</v>
      </c>
      <c r="AS31" s="12">
        <v>14</v>
      </c>
      <c r="AT31" s="11">
        <v>3</v>
      </c>
      <c r="AU31" s="12">
        <v>3</v>
      </c>
      <c r="AV31" s="11">
        <v>70</v>
      </c>
      <c r="AW31" s="12">
        <v>70</v>
      </c>
    </row>
    <row r="32" spans="1:49" x14ac:dyDescent="0.35">
      <c r="A32" s="2">
        <v>32</v>
      </c>
      <c r="B32" s="2" t="s">
        <v>59</v>
      </c>
      <c r="C32" s="2" t="s">
        <v>60</v>
      </c>
      <c r="D32" s="22">
        <v>50.1</v>
      </c>
      <c r="E32" s="8"/>
      <c r="F32" s="7">
        <f t="shared" ref="F32:F42" si="2">D32*30</f>
        <v>1503</v>
      </c>
      <c r="G32" s="8"/>
      <c r="H32" s="16">
        <v>985.6</v>
      </c>
      <c r="I32" s="16">
        <v>1263.819</v>
      </c>
      <c r="J32" s="16">
        <v>944.24</v>
      </c>
      <c r="K32" s="16">
        <v>618.23</v>
      </c>
      <c r="L32" s="16">
        <v>278.37</v>
      </c>
      <c r="M32" s="16">
        <v>614.4</v>
      </c>
      <c r="N32" s="16">
        <v>614.4</v>
      </c>
      <c r="O32" s="16">
        <v>243.53</v>
      </c>
      <c r="P32" s="16">
        <v>1008.9000000000001</v>
      </c>
      <c r="Q32" s="16">
        <v>939.09999999999991</v>
      </c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0">
        <v>4.8899999999999997</v>
      </c>
      <c r="AO32" s="19">
        <v>3.86</v>
      </c>
      <c r="AP32" s="10">
        <v>7.92</v>
      </c>
      <c r="AQ32" s="19">
        <v>5.72</v>
      </c>
      <c r="AR32" s="11">
        <v>18</v>
      </c>
      <c r="AS32" s="12">
        <v>16</v>
      </c>
      <c r="AT32" s="11">
        <v>6</v>
      </c>
      <c r="AU32" s="12">
        <v>6</v>
      </c>
      <c r="AV32" s="11">
        <v>95</v>
      </c>
      <c r="AW32" s="12">
        <v>95</v>
      </c>
    </row>
    <row r="33" spans="1:49" x14ac:dyDescent="0.35">
      <c r="A33" s="3">
        <v>33</v>
      </c>
      <c r="B33" s="3" t="s">
        <v>61</v>
      </c>
      <c r="C33" s="3" t="s">
        <v>62</v>
      </c>
      <c r="D33" s="22">
        <v>54.9</v>
      </c>
      <c r="E33" s="8"/>
      <c r="F33" s="7">
        <f t="shared" si="2"/>
        <v>1647</v>
      </c>
      <c r="G33" s="8"/>
      <c r="H33" s="16">
        <v>257.37</v>
      </c>
      <c r="I33" s="16">
        <v>367.8</v>
      </c>
      <c r="J33" s="16">
        <v>511.73</v>
      </c>
      <c r="K33" s="16">
        <v>646.58600000000001</v>
      </c>
      <c r="L33" s="16">
        <v>829.3</v>
      </c>
      <c r="M33" s="16">
        <v>593.79999999999995</v>
      </c>
      <c r="N33" s="16">
        <v>654.63</v>
      </c>
      <c r="O33" s="16">
        <v>746.73</v>
      </c>
      <c r="P33" s="16">
        <v>629.76400000000001</v>
      </c>
      <c r="Q33" s="16">
        <v>643.024</v>
      </c>
      <c r="R33" s="16">
        <v>566.15</v>
      </c>
      <c r="S33" s="16">
        <v>566.15</v>
      </c>
      <c r="T33" s="16">
        <v>523.22</v>
      </c>
      <c r="U33" s="16">
        <v>893.59400000000005</v>
      </c>
      <c r="V33" s="16">
        <v>749.34</v>
      </c>
      <c r="W33" s="16">
        <v>889.51</v>
      </c>
      <c r="X33" s="16">
        <v>743.75</v>
      </c>
      <c r="Y33" s="16">
        <v>989.04700000000003</v>
      </c>
      <c r="Z33" s="16">
        <v>833.82999999999993</v>
      </c>
      <c r="AA33" s="16">
        <v>739.16700000000003</v>
      </c>
      <c r="AB33" s="16">
        <v>619.92399999999998</v>
      </c>
      <c r="AC33" s="16">
        <v>595.96900000000005</v>
      </c>
      <c r="AD33" s="16">
        <v>644.23</v>
      </c>
      <c r="AE33" s="16">
        <v>1063.21</v>
      </c>
      <c r="AF33" s="16">
        <v>238.35</v>
      </c>
      <c r="AG33" s="16">
        <v>380.54399999999998</v>
      </c>
      <c r="AH33" s="16">
        <v>332.33799999999997</v>
      </c>
      <c r="AI33" s="14">
        <v>637.20000000000005</v>
      </c>
      <c r="AJ33" s="16">
        <v>852.25399999999991</v>
      </c>
      <c r="AK33" s="16">
        <v>1267.5119999999999</v>
      </c>
      <c r="AL33" s="16">
        <v>794.38499999999999</v>
      </c>
      <c r="AM33" s="16">
        <v>764.06999999999994</v>
      </c>
      <c r="AN33" s="10">
        <v>4.01</v>
      </c>
      <c r="AO33" s="19">
        <v>3.65</v>
      </c>
      <c r="AP33" s="10">
        <v>10.95</v>
      </c>
      <c r="AQ33" s="19">
        <v>8.4700000000000006</v>
      </c>
      <c r="AR33" s="11">
        <v>14</v>
      </c>
      <c r="AS33" s="12">
        <v>14</v>
      </c>
      <c r="AT33" s="11">
        <v>3</v>
      </c>
      <c r="AU33" s="12">
        <v>2</v>
      </c>
      <c r="AV33" s="11">
        <v>90</v>
      </c>
      <c r="AW33" s="12">
        <v>85</v>
      </c>
    </row>
    <row r="34" spans="1:49" outlineLevel="1" x14ac:dyDescent="0.35">
      <c r="A34" s="3">
        <v>34</v>
      </c>
      <c r="B34" s="3" t="s">
        <v>63</v>
      </c>
      <c r="C34" s="2" t="s">
        <v>64</v>
      </c>
      <c r="D34" s="22">
        <v>43.4</v>
      </c>
      <c r="E34" s="8"/>
      <c r="F34" s="7">
        <f t="shared" si="2"/>
        <v>1302</v>
      </c>
      <c r="G34" s="8"/>
      <c r="H34" s="16">
        <v>563.79999999999995</v>
      </c>
      <c r="I34" s="16">
        <v>743.7299999999999</v>
      </c>
      <c r="J34" s="16">
        <v>472.39</v>
      </c>
      <c r="K34" s="16">
        <v>818.23</v>
      </c>
      <c r="L34" s="16">
        <v>749.89800000000002</v>
      </c>
      <c r="M34" s="16">
        <v>990.32000000000016</v>
      </c>
      <c r="N34" s="16">
        <v>831.24999999999989</v>
      </c>
      <c r="O34" s="16">
        <v>531.36</v>
      </c>
      <c r="P34" s="16">
        <v>977.99900000000002</v>
      </c>
      <c r="Q34" s="16">
        <v>1176.46</v>
      </c>
      <c r="R34" s="16">
        <v>647.4</v>
      </c>
      <c r="S34" s="16">
        <v>745.1</v>
      </c>
      <c r="T34" s="16">
        <v>644.45000000000005</v>
      </c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0">
        <v>3.46</v>
      </c>
      <c r="AO34" s="19">
        <v>2.57</v>
      </c>
      <c r="AP34" s="10">
        <v>10.31</v>
      </c>
      <c r="AQ34" s="19">
        <v>9.3699999999999992</v>
      </c>
      <c r="AR34" s="11">
        <v>10</v>
      </c>
      <c r="AS34" s="12">
        <v>10</v>
      </c>
      <c r="AT34" s="11">
        <v>5</v>
      </c>
      <c r="AU34" s="12">
        <v>2</v>
      </c>
      <c r="AV34" s="11">
        <v>90</v>
      </c>
      <c r="AW34" s="12">
        <v>85</v>
      </c>
    </row>
    <row r="35" spans="1:49" outlineLevel="1" x14ac:dyDescent="0.35">
      <c r="A35" s="2">
        <v>35</v>
      </c>
      <c r="B35" s="3" t="s">
        <v>65</v>
      </c>
      <c r="C35" s="3" t="s">
        <v>13</v>
      </c>
      <c r="D35" s="22">
        <v>61</v>
      </c>
      <c r="E35" s="8"/>
      <c r="F35" s="7">
        <f t="shared" si="2"/>
        <v>1830</v>
      </c>
      <c r="G35" s="8"/>
      <c r="H35" s="16">
        <v>1800.9499999999998</v>
      </c>
      <c r="I35" s="16">
        <v>1424.05</v>
      </c>
      <c r="J35" s="16">
        <v>1168.45</v>
      </c>
      <c r="K35" s="16">
        <v>1676.15</v>
      </c>
      <c r="L35" s="16">
        <v>1550.4099999999999</v>
      </c>
      <c r="M35" s="16">
        <v>1404.4499999999998</v>
      </c>
      <c r="N35" s="16">
        <v>1459.348</v>
      </c>
      <c r="O35" s="16">
        <v>1521.048</v>
      </c>
      <c r="P35" s="16">
        <v>1548.058</v>
      </c>
      <c r="Q35" s="16">
        <v>1669.7459999999999</v>
      </c>
      <c r="R35" s="16">
        <v>1613.05</v>
      </c>
      <c r="S35" s="16">
        <v>1431.29</v>
      </c>
      <c r="T35" s="16">
        <v>1629.85</v>
      </c>
      <c r="U35" s="16">
        <v>1605.91</v>
      </c>
      <c r="V35" s="16">
        <f>SUM(V32:V34)</f>
        <v>749.34</v>
      </c>
      <c r="W35" s="16">
        <v>436.95</v>
      </c>
      <c r="X35" s="16">
        <v>566.15</v>
      </c>
      <c r="Y35" s="16">
        <v>436.95</v>
      </c>
      <c r="Z35" s="16">
        <v>231.494</v>
      </c>
      <c r="AA35" s="16">
        <v>1527.49</v>
      </c>
      <c r="AB35" s="16">
        <v>1360.5500000000002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0">
        <v>3.57</v>
      </c>
      <c r="AO35" s="19">
        <v>3.26</v>
      </c>
      <c r="AP35" s="10">
        <v>10.24</v>
      </c>
      <c r="AQ35" s="19">
        <v>9.5</v>
      </c>
      <c r="AR35" s="11">
        <v>22</v>
      </c>
      <c r="AS35" s="12">
        <v>22</v>
      </c>
      <c r="AT35" s="11">
        <v>6</v>
      </c>
      <c r="AU35" s="12">
        <v>4</v>
      </c>
      <c r="AV35" s="11">
        <v>95</v>
      </c>
      <c r="AW35" s="12">
        <v>95</v>
      </c>
    </row>
    <row r="36" spans="1:49" outlineLevel="1" x14ac:dyDescent="0.35">
      <c r="A36" s="2">
        <v>36</v>
      </c>
      <c r="B36" s="2" t="s">
        <v>66</v>
      </c>
      <c r="C36" s="2" t="s">
        <v>67</v>
      </c>
      <c r="D36" s="24">
        <v>62</v>
      </c>
      <c r="E36" s="8"/>
      <c r="F36" s="7">
        <f t="shared" si="2"/>
        <v>1860</v>
      </c>
      <c r="G36" s="8"/>
      <c r="H36" s="16">
        <v>917.9</v>
      </c>
      <c r="I36" s="16">
        <v>566.15</v>
      </c>
      <c r="J36" s="16">
        <v>436.95</v>
      </c>
      <c r="K36" s="16">
        <v>566.15</v>
      </c>
      <c r="L36" s="16">
        <v>373.21</v>
      </c>
      <c r="M36" s="17">
        <v>978.55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0">
        <v>4.95</v>
      </c>
      <c r="AO36" s="19">
        <v>4.22</v>
      </c>
      <c r="AP36" s="10">
        <v>15.78</v>
      </c>
      <c r="AQ36" s="19">
        <v>14.99</v>
      </c>
      <c r="AR36" s="11">
        <v>18</v>
      </c>
      <c r="AS36" s="12">
        <v>18</v>
      </c>
      <c r="AT36" s="11">
        <v>4</v>
      </c>
      <c r="AU36" s="12">
        <v>4</v>
      </c>
      <c r="AV36" s="11">
        <v>100</v>
      </c>
      <c r="AW36" s="12">
        <v>100</v>
      </c>
    </row>
    <row r="37" spans="1:49" x14ac:dyDescent="0.35">
      <c r="A37" s="2">
        <v>37</v>
      </c>
      <c r="B37" s="2" t="s">
        <v>68</v>
      </c>
      <c r="C37" s="2" t="s">
        <v>69</v>
      </c>
      <c r="D37" s="22">
        <v>64.400000000000006</v>
      </c>
      <c r="E37" s="8"/>
      <c r="F37" s="7">
        <f t="shared" si="2"/>
        <v>1932.0000000000002</v>
      </c>
      <c r="G37" s="8"/>
      <c r="H37" s="17">
        <v>1498.94</v>
      </c>
      <c r="I37" s="17">
        <v>1266.26</v>
      </c>
      <c r="J37" s="17">
        <v>1192.4280000000001</v>
      </c>
      <c r="K37" s="17">
        <v>999.05799999999999</v>
      </c>
      <c r="L37" s="17">
        <v>1504.87</v>
      </c>
      <c r="M37" s="17">
        <v>670.58</v>
      </c>
      <c r="N37" s="17">
        <v>1205.3499999999999</v>
      </c>
      <c r="O37" s="16">
        <v>536.25</v>
      </c>
      <c r="P37" s="16">
        <v>1213.25</v>
      </c>
      <c r="Q37" s="16">
        <v>846.31</v>
      </c>
      <c r="R37" s="16">
        <v>1048.75</v>
      </c>
      <c r="S37" s="16">
        <v>766.39</v>
      </c>
      <c r="T37" s="16">
        <v>986.65</v>
      </c>
      <c r="U37" s="16">
        <v>948.56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0">
        <v>2.87</v>
      </c>
      <c r="AO37" s="19">
        <v>2.68</v>
      </c>
      <c r="AP37" s="10">
        <v>10.58</v>
      </c>
      <c r="AQ37" s="19">
        <v>9.01</v>
      </c>
      <c r="AR37" s="11">
        <v>14</v>
      </c>
      <c r="AS37" s="12">
        <v>12</v>
      </c>
      <c r="AT37" s="11">
        <v>5</v>
      </c>
      <c r="AU37" s="12">
        <v>4</v>
      </c>
      <c r="AV37" s="11">
        <v>95</v>
      </c>
      <c r="AW37" s="12">
        <v>95</v>
      </c>
    </row>
    <row r="38" spans="1:49" x14ac:dyDescent="0.35">
      <c r="A38" s="2">
        <v>38</v>
      </c>
      <c r="B38" s="3" t="s">
        <v>2</v>
      </c>
      <c r="C38" s="2" t="s">
        <v>70</v>
      </c>
      <c r="D38" s="22">
        <v>79.099999999999994</v>
      </c>
      <c r="E38" s="8"/>
      <c r="F38" s="7">
        <f t="shared" si="2"/>
        <v>2373</v>
      </c>
      <c r="G38" s="8"/>
      <c r="H38" s="17">
        <v>360.4</v>
      </c>
      <c r="I38" s="17">
        <v>416.4</v>
      </c>
      <c r="J38" s="17">
        <v>565</v>
      </c>
      <c r="K38" s="17">
        <v>1267.03</v>
      </c>
      <c r="L38" s="17">
        <v>1504.55</v>
      </c>
      <c r="M38" s="17">
        <v>395.9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0">
        <v>2.76</v>
      </c>
      <c r="AO38" s="19">
        <v>2.2400000000000002</v>
      </c>
      <c r="AP38" s="10">
        <v>8.89</v>
      </c>
      <c r="AQ38" s="19">
        <v>7.2</v>
      </c>
      <c r="AR38" s="11">
        <v>22</v>
      </c>
      <c r="AS38" s="12">
        <v>22</v>
      </c>
      <c r="AT38" s="11">
        <v>11</v>
      </c>
      <c r="AU38" s="12">
        <v>11</v>
      </c>
      <c r="AV38" s="11">
        <v>100</v>
      </c>
      <c r="AW38" s="12">
        <v>100</v>
      </c>
    </row>
    <row r="39" spans="1:49" x14ac:dyDescent="0.35">
      <c r="A39" s="2">
        <v>39</v>
      </c>
      <c r="B39" s="3" t="s">
        <v>71</v>
      </c>
      <c r="C39" s="2" t="s">
        <v>72</v>
      </c>
      <c r="D39" s="22">
        <v>68</v>
      </c>
      <c r="E39" s="8"/>
      <c r="F39" s="7">
        <f t="shared" si="2"/>
        <v>2040</v>
      </c>
      <c r="G39" s="8"/>
      <c r="H39" s="17">
        <v>780.22</v>
      </c>
      <c r="I39" s="17">
        <v>826.32</v>
      </c>
      <c r="J39" s="17">
        <v>898.11</v>
      </c>
      <c r="K39" s="17">
        <v>860.21</v>
      </c>
      <c r="L39" s="17">
        <v>824.8</v>
      </c>
      <c r="M39" s="17">
        <v>235.51</v>
      </c>
      <c r="N39" s="17">
        <v>967.9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0">
        <v>3.67</v>
      </c>
      <c r="AO39" s="19">
        <v>3.46</v>
      </c>
      <c r="AP39" s="10">
        <v>8.43</v>
      </c>
      <c r="AQ39" s="19">
        <v>6.01</v>
      </c>
      <c r="AR39" s="11">
        <v>14</v>
      </c>
      <c r="AS39" s="12">
        <v>12</v>
      </c>
      <c r="AT39" s="11">
        <v>4</v>
      </c>
      <c r="AU39" s="12">
        <v>3</v>
      </c>
      <c r="AV39" s="11">
        <v>90</v>
      </c>
      <c r="AW39" s="12">
        <v>100</v>
      </c>
    </row>
    <row r="40" spans="1:49" x14ac:dyDescent="0.35">
      <c r="A40" s="2">
        <v>40</v>
      </c>
      <c r="B40" s="3" t="s">
        <v>73</v>
      </c>
      <c r="C40" s="2" t="s">
        <v>74</v>
      </c>
      <c r="D40" s="22">
        <v>56</v>
      </c>
      <c r="E40" s="8"/>
      <c r="F40" s="7">
        <f t="shared" si="2"/>
        <v>1680</v>
      </c>
      <c r="G40" s="8"/>
      <c r="H40" s="17">
        <v>410.4</v>
      </c>
      <c r="I40" s="17">
        <v>410.4</v>
      </c>
      <c r="J40" s="17">
        <v>410.4</v>
      </c>
      <c r="K40" s="17">
        <v>410.4</v>
      </c>
      <c r="L40" s="17">
        <v>644.44000000000005</v>
      </c>
      <c r="M40" s="17">
        <v>1408.81</v>
      </c>
      <c r="N40" s="17">
        <v>1043.7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0">
        <v>5.36</v>
      </c>
      <c r="AO40" s="19">
        <v>5.22</v>
      </c>
      <c r="AP40" s="10">
        <v>14.67</v>
      </c>
      <c r="AQ40" s="19">
        <v>14.16</v>
      </c>
      <c r="AR40" s="11">
        <v>18</v>
      </c>
      <c r="AS40" s="12">
        <v>20</v>
      </c>
      <c r="AT40" s="11">
        <v>12</v>
      </c>
      <c r="AU40" s="12">
        <v>12</v>
      </c>
      <c r="AV40" s="11">
        <v>100</v>
      </c>
      <c r="AW40" s="12">
        <v>100</v>
      </c>
    </row>
    <row r="41" spans="1:49" x14ac:dyDescent="0.35">
      <c r="A41" s="2">
        <v>41</v>
      </c>
      <c r="B41" s="3" t="s">
        <v>75</v>
      </c>
      <c r="C41" s="2" t="s">
        <v>76</v>
      </c>
      <c r="D41" s="22">
        <v>40.5</v>
      </c>
      <c r="E41" s="8"/>
      <c r="F41" s="7">
        <f t="shared" si="2"/>
        <v>1215</v>
      </c>
      <c r="G41" s="8"/>
      <c r="H41" s="17">
        <v>818.06999999999994</v>
      </c>
      <c r="I41" s="17">
        <v>702.31999999999994</v>
      </c>
      <c r="J41" s="17">
        <v>688.4</v>
      </c>
      <c r="K41" s="17">
        <v>832.57</v>
      </c>
      <c r="L41" s="17">
        <v>986.97</v>
      </c>
      <c r="M41" s="17">
        <v>640.29</v>
      </c>
      <c r="N41" s="17">
        <v>405.53</v>
      </c>
      <c r="O41" s="16">
        <v>540.14</v>
      </c>
      <c r="P41" s="16">
        <v>715.82999999999993</v>
      </c>
      <c r="Q41" s="16">
        <v>961.13</v>
      </c>
      <c r="R41" s="16">
        <v>893.33999999999992</v>
      </c>
      <c r="S41" s="16">
        <v>864.03</v>
      </c>
      <c r="T41" s="16">
        <v>861.59</v>
      </c>
      <c r="U41" s="16">
        <v>504.44999999999993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0">
        <v>4.88</v>
      </c>
      <c r="AO41" s="19">
        <v>4.4000000000000004</v>
      </c>
      <c r="AP41" s="10">
        <v>11.34</v>
      </c>
      <c r="AQ41" s="19">
        <v>8.14</v>
      </c>
      <c r="AR41" s="11">
        <v>13</v>
      </c>
      <c r="AS41" s="12">
        <v>13</v>
      </c>
      <c r="AT41" s="11">
        <v>2</v>
      </c>
      <c r="AU41" s="12">
        <v>2</v>
      </c>
      <c r="AV41" s="11">
        <v>20</v>
      </c>
      <c r="AW41" s="12">
        <v>20</v>
      </c>
    </row>
    <row r="42" spans="1:49" x14ac:dyDescent="0.35">
      <c r="A42" s="2">
        <v>42</v>
      </c>
      <c r="B42" s="3" t="s">
        <v>77</v>
      </c>
      <c r="C42" s="2" t="s">
        <v>78</v>
      </c>
      <c r="D42" s="22">
        <v>113</v>
      </c>
      <c r="E42" s="8"/>
      <c r="F42" s="7">
        <f t="shared" si="2"/>
        <v>3390</v>
      </c>
      <c r="G42" s="8"/>
      <c r="H42" s="15">
        <v>667.34</v>
      </c>
      <c r="I42" s="15">
        <v>1028.25</v>
      </c>
      <c r="J42" s="15">
        <v>1403.85</v>
      </c>
      <c r="K42" s="15">
        <v>915.45</v>
      </c>
      <c r="L42" s="15">
        <v>884.59000000000015</v>
      </c>
      <c r="M42" s="15">
        <v>820.41</v>
      </c>
      <c r="N42" s="15">
        <v>1288.4000000000001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0">
        <v>3.23</v>
      </c>
      <c r="AO42" s="19">
        <v>2.76</v>
      </c>
      <c r="AP42" s="10">
        <v>7.76</v>
      </c>
      <c r="AQ42" s="19">
        <v>6.26</v>
      </c>
      <c r="AR42" s="11">
        <v>18</v>
      </c>
      <c r="AS42" s="12">
        <v>16</v>
      </c>
      <c r="AT42" s="11">
        <v>2</v>
      </c>
      <c r="AU42" s="12">
        <v>2</v>
      </c>
      <c r="AV42" s="11">
        <v>80</v>
      </c>
      <c r="AW42" s="12">
        <v>80</v>
      </c>
    </row>
    <row r="43" spans="1:49" outlineLevel="1" x14ac:dyDescent="0.35">
      <c r="A43" s="2">
        <v>43</v>
      </c>
      <c r="B43" s="3" t="s">
        <v>79</v>
      </c>
      <c r="C43" s="2" t="s">
        <v>80</v>
      </c>
      <c r="D43" s="22">
        <v>85.7</v>
      </c>
      <c r="E43" s="9">
        <v>71.241874999999993</v>
      </c>
      <c r="F43" s="9">
        <v>2137.2562499999999</v>
      </c>
      <c r="G43" s="9">
        <v>2137.2562499999999</v>
      </c>
      <c r="H43" s="15">
        <v>1295.4000000000001</v>
      </c>
      <c r="I43" s="15">
        <v>1639.54</v>
      </c>
      <c r="J43" s="15">
        <v>1062.8000000000002</v>
      </c>
      <c r="K43" s="15">
        <v>1185.0999999999999</v>
      </c>
      <c r="L43" s="15">
        <v>1380.65</v>
      </c>
      <c r="M43" s="15">
        <v>1422.72</v>
      </c>
      <c r="N43" s="15">
        <v>1565.05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0">
        <v>5.09</v>
      </c>
      <c r="AO43" s="19">
        <v>4.87</v>
      </c>
      <c r="AP43" s="10">
        <v>13.91</v>
      </c>
      <c r="AQ43" s="19">
        <v>12.75</v>
      </c>
      <c r="AR43" s="11">
        <v>16</v>
      </c>
      <c r="AS43" s="12">
        <v>16</v>
      </c>
      <c r="AT43" s="11">
        <v>5</v>
      </c>
      <c r="AU43" s="12">
        <v>5</v>
      </c>
      <c r="AV43" s="11">
        <v>100</v>
      </c>
      <c r="AW43" s="12">
        <v>100</v>
      </c>
    </row>
    <row r="44" spans="1:49" outlineLevel="1" x14ac:dyDescent="0.35">
      <c r="A44" s="2">
        <v>44</v>
      </c>
      <c r="B44" s="3" t="s">
        <v>81</v>
      </c>
      <c r="C44" s="2" t="s">
        <v>82</v>
      </c>
      <c r="D44" s="22">
        <v>62.4</v>
      </c>
      <c r="E44" s="8"/>
      <c r="F44" s="7">
        <f>D44*30</f>
        <v>1872</v>
      </c>
      <c r="G44" s="8"/>
      <c r="H44" s="15">
        <v>803.65</v>
      </c>
      <c r="I44" s="15">
        <v>509.35</v>
      </c>
      <c r="J44" s="15">
        <v>949.95</v>
      </c>
      <c r="K44" s="15">
        <v>1382.4</v>
      </c>
      <c r="L44" s="15">
        <v>1408.7</v>
      </c>
      <c r="M44" s="15">
        <v>1571.1</v>
      </c>
      <c r="N44" s="15">
        <v>1290.6399999999999</v>
      </c>
      <c r="O44" s="16">
        <v>1410.2800000000002</v>
      </c>
      <c r="P44" s="16">
        <v>1336.1599999999999</v>
      </c>
      <c r="Q44" s="16">
        <v>1045.04</v>
      </c>
      <c r="R44" s="16">
        <v>1269.76</v>
      </c>
      <c r="S44" s="16">
        <v>1242.55</v>
      </c>
      <c r="T44" s="15">
        <v>1242.05</v>
      </c>
      <c r="U44" s="16">
        <v>1202.8499999999999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0">
        <v>3.37</v>
      </c>
      <c r="AO44" s="19">
        <v>2.2400000000000002</v>
      </c>
      <c r="AP44" s="10">
        <v>10.6</v>
      </c>
      <c r="AQ44" s="19">
        <v>8.73</v>
      </c>
      <c r="AR44" s="11">
        <v>10</v>
      </c>
      <c r="AS44" s="12">
        <v>5</v>
      </c>
      <c r="AT44" s="11">
        <v>2</v>
      </c>
      <c r="AU44" s="12">
        <v>2</v>
      </c>
      <c r="AV44" s="11">
        <v>65</v>
      </c>
      <c r="AW44" s="12">
        <v>65</v>
      </c>
    </row>
    <row r="45" spans="1:49" outlineLevel="1" x14ac:dyDescent="0.35">
      <c r="A45" s="2">
        <v>45</v>
      </c>
      <c r="B45" s="2" t="s">
        <v>37</v>
      </c>
      <c r="C45" s="2" t="s">
        <v>83</v>
      </c>
      <c r="D45" s="22">
        <v>72</v>
      </c>
      <c r="E45" s="9">
        <v>55.807499999999997</v>
      </c>
      <c r="F45" s="9">
        <v>1674.2249999999999</v>
      </c>
      <c r="G45" s="9">
        <v>1674.2249999999999</v>
      </c>
      <c r="H45" s="15">
        <v>1292.6500000000001</v>
      </c>
      <c r="I45" s="15">
        <v>410.4</v>
      </c>
      <c r="J45" s="15">
        <v>410.4</v>
      </c>
      <c r="K45" s="15">
        <v>275.05</v>
      </c>
      <c r="L45" s="15">
        <v>1480.46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0">
        <v>3.75</v>
      </c>
      <c r="AO45" s="19">
        <v>3.51</v>
      </c>
      <c r="AP45" s="10">
        <v>11.38</v>
      </c>
      <c r="AQ45" s="19">
        <v>10.92</v>
      </c>
      <c r="AR45" s="11">
        <v>15</v>
      </c>
      <c r="AS45" s="12">
        <v>12</v>
      </c>
      <c r="AT45" s="11">
        <v>4</v>
      </c>
      <c r="AU45" s="12">
        <v>4</v>
      </c>
      <c r="AV45" s="11">
        <v>90</v>
      </c>
      <c r="AW45" s="12">
        <v>90</v>
      </c>
    </row>
    <row r="46" spans="1:49" x14ac:dyDescent="0.35">
      <c r="A46" s="2">
        <v>46</v>
      </c>
      <c r="B46" s="2" t="s">
        <v>84</v>
      </c>
      <c r="C46" s="2" t="s">
        <v>85</v>
      </c>
      <c r="D46" s="22">
        <v>62</v>
      </c>
      <c r="E46" s="8"/>
      <c r="F46" s="7">
        <f t="shared" ref="F46:F52" si="3">D46*30</f>
        <v>1860</v>
      </c>
      <c r="G46" s="8"/>
      <c r="H46" s="15">
        <v>1394.86</v>
      </c>
      <c r="I46" s="15">
        <v>1318.96</v>
      </c>
      <c r="J46" s="15">
        <v>1656.76</v>
      </c>
      <c r="K46" s="15">
        <v>1122.1599999999999</v>
      </c>
      <c r="L46" s="15">
        <v>1145.1399999999999</v>
      </c>
      <c r="M46" s="15">
        <v>1356.56</v>
      </c>
      <c r="N46" s="15">
        <v>1511.26</v>
      </c>
      <c r="O46" s="16">
        <v>1344.76</v>
      </c>
      <c r="P46" s="16">
        <v>1627.46</v>
      </c>
      <c r="Q46" s="16">
        <v>1393.66</v>
      </c>
      <c r="R46" s="16">
        <v>1518.21</v>
      </c>
      <c r="S46" s="16">
        <v>991.76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0">
        <v>4.34</v>
      </c>
      <c r="AO46" s="19">
        <v>3.54</v>
      </c>
      <c r="AP46" s="10">
        <v>16.23</v>
      </c>
      <c r="AQ46" s="19">
        <v>14.76</v>
      </c>
      <c r="AR46" s="11">
        <v>10</v>
      </c>
      <c r="AS46" s="12">
        <v>12</v>
      </c>
      <c r="AT46" s="11">
        <v>4</v>
      </c>
      <c r="AU46" s="12">
        <v>7</v>
      </c>
      <c r="AV46" s="11">
        <v>90</v>
      </c>
      <c r="AW46" s="12">
        <v>90</v>
      </c>
    </row>
    <row r="47" spans="1:49" x14ac:dyDescent="0.35">
      <c r="A47" s="2">
        <v>47</v>
      </c>
      <c r="B47" s="2" t="s">
        <v>86</v>
      </c>
      <c r="C47" s="2" t="s">
        <v>87</v>
      </c>
      <c r="D47" s="22">
        <v>56</v>
      </c>
      <c r="E47" s="8"/>
      <c r="F47" s="7">
        <f t="shared" si="3"/>
        <v>1680</v>
      </c>
      <c r="G47" s="8"/>
      <c r="H47" s="15">
        <v>1280.05</v>
      </c>
      <c r="I47" s="15">
        <v>1197.1489999999999</v>
      </c>
      <c r="J47" s="15">
        <v>1725.55</v>
      </c>
      <c r="K47" s="15">
        <v>482.5</v>
      </c>
      <c r="L47" s="15">
        <v>1318.15</v>
      </c>
      <c r="M47" s="18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0">
        <v>6.71</v>
      </c>
      <c r="AO47" s="19">
        <v>5.93</v>
      </c>
      <c r="AP47" s="10">
        <v>13.39</v>
      </c>
      <c r="AQ47" s="19">
        <v>12.83</v>
      </c>
      <c r="AR47" s="11">
        <v>27</v>
      </c>
      <c r="AS47" s="12">
        <v>25</v>
      </c>
      <c r="AT47" s="11">
        <v>10</v>
      </c>
      <c r="AU47" s="12">
        <v>10</v>
      </c>
      <c r="AV47" s="11">
        <v>100</v>
      </c>
      <c r="AW47" s="12">
        <v>100</v>
      </c>
    </row>
    <row r="48" spans="1:49" x14ac:dyDescent="0.35">
      <c r="A48" s="2">
        <v>48</v>
      </c>
      <c r="B48" s="4" t="s">
        <v>88</v>
      </c>
      <c r="C48" s="2" t="s">
        <v>89</v>
      </c>
      <c r="D48" s="23">
        <v>59.6</v>
      </c>
      <c r="E48" s="8"/>
      <c r="F48" s="7">
        <f t="shared" si="3"/>
        <v>1788</v>
      </c>
      <c r="G48" s="8"/>
      <c r="H48" s="15">
        <v>1704.4</v>
      </c>
      <c r="I48" s="15">
        <v>954.8</v>
      </c>
      <c r="J48" s="15">
        <v>857.65</v>
      </c>
      <c r="K48" s="15">
        <v>1049.8699999999999</v>
      </c>
      <c r="L48" s="15">
        <v>905.26</v>
      </c>
      <c r="M48" s="15">
        <v>1081.19</v>
      </c>
      <c r="N48" s="15">
        <v>830.29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0">
        <v>2.42</v>
      </c>
      <c r="AO48" s="19">
        <v>2.2599999999999998</v>
      </c>
      <c r="AP48" s="10">
        <v>13.57</v>
      </c>
      <c r="AQ48" s="19">
        <v>11.94</v>
      </c>
      <c r="AR48" s="11">
        <v>18</v>
      </c>
      <c r="AS48" s="12">
        <v>18</v>
      </c>
      <c r="AT48" s="11">
        <v>10</v>
      </c>
      <c r="AU48" s="12">
        <v>7</v>
      </c>
      <c r="AV48" s="11">
        <v>100</v>
      </c>
      <c r="AW48" s="12">
        <v>100</v>
      </c>
    </row>
    <row r="49" spans="1:49" x14ac:dyDescent="0.35">
      <c r="A49" s="3">
        <v>49</v>
      </c>
      <c r="B49" s="6" t="s">
        <v>90</v>
      </c>
      <c r="C49" s="6" t="s">
        <v>91</v>
      </c>
      <c r="D49" s="23">
        <v>76</v>
      </c>
      <c r="E49" s="8"/>
      <c r="F49" s="7">
        <f t="shared" si="3"/>
        <v>2280</v>
      </c>
      <c r="G49" s="8"/>
      <c r="H49" s="17">
        <v>788.87300000000005</v>
      </c>
      <c r="I49" s="17">
        <v>482.00600000000003</v>
      </c>
      <c r="J49" s="17">
        <v>371.9</v>
      </c>
      <c r="K49" s="17">
        <v>946.21</v>
      </c>
      <c r="L49" s="17">
        <v>323.60000000000002</v>
      </c>
      <c r="M49" s="17">
        <v>64.308000000000007</v>
      </c>
      <c r="N49" s="17">
        <v>804.53399999999999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0">
        <v>6.56</v>
      </c>
      <c r="AO49" s="19">
        <v>6.48</v>
      </c>
      <c r="AP49" s="10">
        <v>7.74</v>
      </c>
      <c r="AQ49" s="19">
        <v>7.03</v>
      </c>
      <c r="AR49" s="11">
        <v>26.5</v>
      </c>
      <c r="AS49" s="12">
        <v>29</v>
      </c>
      <c r="AT49" s="11">
        <v>7</v>
      </c>
      <c r="AU49" s="12">
        <v>7</v>
      </c>
      <c r="AV49" s="11">
        <v>95</v>
      </c>
      <c r="AW49" s="12">
        <v>95</v>
      </c>
    </row>
    <row r="50" spans="1:49" x14ac:dyDescent="0.35">
      <c r="A50" s="3">
        <v>50</v>
      </c>
      <c r="B50" s="6" t="s">
        <v>92</v>
      </c>
      <c r="C50" s="6" t="s">
        <v>9</v>
      </c>
      <c r="D50" s="23">
        <v>60</v>
      </c>
      <c r="E50" s="8"/>
      <c r="F50" s="7">
        <f t="shared" si="3"/>
        <v>1800</v>
      </c>
      <c r="G50" s="8"/>
      <c r="H50" s="18">
        <v>1044.29</v>
      </c>
      <c r="I50" s="18">
        <v>1039.7940000000001</v>
      </c>
      <c r="J50" s="18">
        <v>1194.23</v>
      </c>
      <c r="K50" s="18">
        <v>1191.07</v>
      </c>
      <c r="L50" s="18">
        <v>1188.008</v>
      </c>
      <c r="M50" s="18">
        <v>640.8599999999999</v>
      </c>
      <c r="N50" s="18">
        <v>788.76</v>
      </c>
      <c r="O50" s="16">
        <v>1060.45</v>
      </c>
      <c r="P50" s="16">
        <v>1304.806</v>
      </c>
      <c r="Q50" s="16">
        <v>1301.895</v>
      </c>
      <c r="R50" s="16">
        <v>979.12000000000012</v>
      </c>
      <c r="S50" s="16">
        <v>1363.25</v>
      </c>
      <c r="T50" s="16">
        <v>1051.99</v>
      </c>
      <c r="U50" s="16">
        <v>1159.5899999999999</v>
      </c>
      <c r="V50" s="16">
        <v>1071.6399999999999</v>
      </c>
      <c r="W50" s="16">
        <v>962.6</v>
      </c>
      <c r="X50" s="16">
        <v>820.46</v>
      </c>
      <c r="Y50" s="16">
        <v>1001.84</v>
      </c>
      <c r="Z50" s="16">
        <v>807.90300000000002</v>
      </c>
      <c r="AA50" s="16">
        <v>786.09500000000003</v>
      </c>
      <c r="AB50" s="16">
        <v>909</v>
      </c>
      <c r="AC50" s="16">
        <v>983.19999999999993</v>
      </c>
      <c r="AD50" s="16">
        <v>864.1099999999999</v>
      </c>
      <c r="AE50" s="16">
        <v>1043.56</v>
      </c>
      <c r="AF50" s="16">
        <v>1380.4299999999998</v>
      </c>
      <c r="AG50" s="16">
        <v>839.72</v>
      </c>
      <c r="AH50" s="16">
        <v>726.26</v>
      </c>
      <c r="AI50" s="16">
        <v>857.07999999999993</v>
      </c>
      <c r="AJ50" s="16"/>
      <c r="AK50" s="16"/>
      <c r="AL50" s="16"/>
      <c r="AM50" s="16"/>
      <c r="AN50" s="10">
        <v>3.58</v>
      </c>
      <c r="AO50" s="19">
        <v>2.36</v>
      </c>
      <c r="AP50" s="10">
        <v>14.53</v>
      </c>
      <c r="AQ50" s="19">
        <v>10.16</v>
      </c>
      <c r="AR50" s="11">
        <v>5</v>
      </c>
      <c r="AS50" s="12">
        <v>6</v>
      </c>
      <c r="AT50" s="11">
        <v>4</v>
      </c>
      <c r="AU50" s="12">
        <v>4</v>
      </c>
      <c r="AV50" s="11">
        <v>80</v>
      </c>
      <c r="AW50" s="12">
        <v>75</v>
      </c>
    </row>
    <row r="51" spans="1:49" x14ac:dyDescent="0.35">
      <c r="A51" s="3">
        <v>51</v>
      </c>
      <c r="B51" s="6" t="s">
        <v>93</v>
      </c>
      <c r="C51" s="6" t="s">
        <v>94</v>
      </c>
      <c r="D51" s="23">
        <v>72</v>
      </c>
      <c r="E51" s="8"/>
      <c r="F51" s="7">
        <f t="shared" si="3"/>
        <v>2160</v>
      </c>
      <c r="G51" s="8"/>
      <c r="H51" s="17">
        <v>624.59999999999991</v>
      </c>
      <c r="I51" s="17">
        <v>323.2</v>
      </c>
      <c r="J51" s="17">
        <v>134.21600000000001</v>
      </c>
      <c r="K51" s="17">
        <v>338.52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0">
        <v>3.32</v>
      </c>
      <c r="AO51" s="19">
        <v>2.2400000000000002</v>
      </c>
      <c r="AP51" s="10">
        <v>8.84</v>
      </c>
      <c r="AQ51" s="19">
        <v>7.64</v>
      </c>
      <c r="AR51" s="11">
        <v>16</v>
      </c>
      <c r="AS51" s="12">
        <v>14</v>
      </c>
      <c r="AT51" s="11">
        <v>9</v>
      </c>
      <c r="AU51" s="12">
        <v>8</v>
      </c>
      <c r="AV51" s="11">
        <v>100</v>
      </c>
      <c r="AW51" s="12">
        <v>100</v>
      </c>
    </row>
    <row r="52" spans="1:49" x14ac:dyDescent="0.35">
      <c r="A52" s="3">
        <v>52</v>
      </c>
      <c r="B52" s="6" t="s">
        <v>95</v>
      </c>
      <c r="C52" s="6" t="s">
        <v>96</v>
      </c>
      <c r="D52" s="23">
        <v>63</v>
      </c>
      <c r="E52" s="8"/>
      <c r="F52" s="7">
        <f t="shared" si="3"/>
        <v>1890</v>
      </c>
      <c r="G52" s="8"/>
      <c r="H52" s="17">
        <v>954.70799999999997</v>
      </c>
      <c r="I52" s="17">
        <v>1116.48</v>
      </c>
      <c r="J52" s="17">
        <v>1034.24</v>
      </c>
      <c r="K52" s="17">
        <v>1265.596</v>
      </c>
      <c r="L52" s="17">
        <v>709.53</v>
      </c>
      <c r="M52" s="17">
        <v>1098.598</v>
      </c>
      <c r="N52" s="17">
        <v>371.5</v>
      </c>
      <c r="O52" s="16">
        <v>431.74599999999998</v>
      </c>
      <c r="P52" s="16">
        <v>309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0">
        <v>3.97</v>
      </c>
      <c r="AO52" s="19">
        <v>3.19</v>
      </c>
      <c r="AP52" s="10">
        <v>9.43</v>
      </c>
      <c r="AQ52" s="19">
        <v>7.74</v>
      </c>
      <c r="AR52" s="11">
        <v>22</v>
      </c>
      <c r="AS52" s="12">
        <v>19</v>
      </c>
      <c r="AT52" s="11">
        <v>7</v>
      </c>
      <c r="AU52" s="12">
        <v>9</v>
      </c>
      <c r="AV52" s="11">
        <v>85</v>
      </c>
      <c r="AW52" s="12">
        <v>90</v>
      </c>
    </row>
    <row r="53" spans="1:49" outlineLevel="1" x14ac:dyDescent="0.35">
      <c r="A53" s="3">
        <v>53</v>
      </c>
      <c r="B53" s="6" t="s">
        <v>97</v>
      </c>
      <c r="C53" s="6" t="s">
        <v>40</v>
      </c>
      <c r="D53" s="23">
        <v>102</v>
      </c>
      <c r="E53" s="9">
        <v>86.25</v>
      </c>
      <c r="F53" s="9">
        <v>2587.5</v>
      </c>
      <c r="G53" s="9">
        <v>2587.5</v>
      </c>
      <c r="H53" s="17">
        <v>1326.7</v>
      </c>
      <c r="I53" s="17">
        <v>1324.6999999999998</v>
      </c>
      <c r="J53" s="17">
        <v>540.43000000000006</v>
      </c>
      <c r="K53" s="17">
        <v>695.09999999999991</v>
      </c>
      <c r="L53" s="17">
        <v>1295.08</v>
      </c>
      <c r="M53" s="17">
        <v>1537.74</v>
      </c>
      <c r="N53" s="17">
        <v>266.7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0">
        <v>10.16</v>
      </c>
      <c r="AO53" s="19">
        <v>9.41</v>
      </c>
      <c r="AP53" s="10">
        <v>14.27</v>
      </c>
      <c r="AQ53" s="19">
        <v>11.22</v>
      </c>
      <c r="AR53" s="11">
        <v>48</v>
      </c>
      <c r="AS53" s="12">
        <v>50</v>
      </c>
      <c r="AT53" s="11">
        <v>10</v>
      </c>
      <c r="AU53" s="12">
        <v>11</v>
      </c>
      <c r="AV53" s="11">
        <v>100</v>
      </c>
      <c r="AW53" s="12">
        <v>100</v>
      </c>
    </row>
    <row r="54" spans="1:49" x14ac:dyDescent="0.35">
      <c r="A54" s="3">
        <v>56</v>
      </c>
      <c r="B54" s="3" t="s">
        <v>120</v>
      </c>
      <c r="C54" s="3" t="s">
        <v>119</v>
      </c>
      <c r="D54" s="23">
        <v>81</v>
      </c>
      <c r="E54" s="9">
        <v>65.296875</v>
      </c>
      <c r="F54" s="9">
        <v>1958.90625</v>
      </c>
      <c r="G54" s="9">
        <v>1958.90625</v>
      </c>
      <c r="H54" s="17">
        <v>1446.1999999999998</v>
      </c>
      <c r="I54" s="17">
        <v>1233.5</v>
      </c>
      <c r="J54" s="17">
        <v>590.4</v>
      </c>
      <c r="K54" s="17">
        <v>429.4</v>
      </c>
      <c r="L54" s="17">
        <v>513.79999999999995</v>
      </c>
      <c r="M54" s="17">
        <v>1301.0999999999999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0">
        <v>3.73</v>
      </c>
      <c r="AO54" s="19">
        <v>3.26</v>
      </c>
      <c r="AP54" s="10">
        <v>13.09</v>
      </c>
      <c r="AQ54" s="19">
        <v>9.67</v>
      </c>
      <c r="AR54" s="11">
        <v>22</v>
      </c>
      <c r="AS54" s="12">
        <v>18</v>
      </c>
      <c r="AT54" s="11">
        <v>5</v>
      </c>
      <c r="AU54" s="12">
        <v>5</v>
      </c>
      <c r="AV54" s="11">
        <v>95</v>
      </c>
      <c r="AW54" s="12">
        <v>95</v>
      </c>
    </row>
    <row r="55" spans="1:49" x14ac:dyDescent="0.35">
      <c r="A55" s="3">
        <v>57</v>
      </c>
      <c r="B55" s="6" t="s">
        <v>100</v>
      </c>
      <c r="C55" s="6" t="s">
        <v>101</v>
      </c>
      <c r="D55" s="23">
        <v>73.400000000000006</v>
      </c>
      <c r="E55" s="8"/>
      <c r="F55" s="7">
        <f>D55*30</f>
        <v>2202</v>
      </c>
      <c r="G55" s="8"/>
      <c r="H55" s="17">
        <v>1359.1</v>
      </c>
      <c r="I55" s="17">
        <v>523.4</v>
      </c>
      <c r="J55" s="17">
        <v>590.4</v>
      </c>
      <c r="K55" s="17">
        <v>570</v>
      </c>
      <c r="L55" s="17">
        <v>397.4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0">
        <v>6.6</v>
      </c>
      <c r="AO55" s="19">
        <v>6.58</v>
      </c>
      <c r="AP55" s="10">
        <v>19.29</v>
      </c>
      <c r="AQ55" s="19">
        <v>18.420000000000002</v>
      </c>
      <c r="AR55" s="11">
        <v>34</v>
      </c>
      <c r="AS55" s="12">
        <v>32</v>
      </c>
      <c r="AT55" s="11">
        <v>10</v>
      </c>
      <c r="AU55" s="12">
        <v>10</v>
      </c>
      <c r="AV55" s="11">
        <v>100</v>
      </c>
      <c r="AW55" s="12">
        <v>100</v>
      </c>
    </row>
    <row r="56" spans="1:49" x14ac:dyDescent="0.35">
      <c r="A56" s="3">
        <v>58</v>
      </c>
      <c r="B56" s="6" t="s">
        <v>98</v>
      </c>
      <c r="C56" s="6" t="s">
        <v>99</v>
      </c>
      <c r="D56" s="23">
        <v>47</v>
      </c>
      <c r="E56" s="8"/>
      <c r="F56" s="7">
        <f>D56*30</f>
        <v>1410</v>
      </c>
      <c r="G56" s="8"/>
      <c r="H56" s="17">
        <v>1006</v>
      </c>
      <c r="I56" s="17">
        <v>590.4</v>
      </c>
      <c r="J56" s="17">
        <v>590.4</v>
      </c>
      <c r="K56" s="17">
        <v>417.8</v>
      </c>
      <c r="L56" s="17">
        <v>1714.1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0">
        <v>3.04</v>
      </c>
      <c r="AO56" s="19">
        <v>2.34</v>
      </c>
      <c r="AP56" s="10">
        <v>11.37</v>
      </c>
      <c r="AQ56" s="19">
        <v>9.23</v>
      </c>
      <c r="AR56" s="11">
        <v>22</v>
      </c>
      <c r="AS56" s="12">
        <v>22</v>
      </c>
      <c r="AT56" s="11">
        <v>9</v>
      </c>
      <c r="AU56" s="12">
        <v>9</v>
      </c>
      <c r="AV56" s="11">
        <v>100</v>
      </c>
      <c r="AW56" s="12">
        <v>100</v>
      </c>
    </row>
    <row r="57" spans="1:49" x14ac:dyDescent="0.35">
      <c r="A57" s="3">
        <v>59</v>
      </c>
      <c r="B57" s="6" t="s">
        <v>45</v>
      </c>
      <c r="C57" s="6" t="s">
        <v>102</v>
      </c>
      <c r="D57" s="23">
        <v>40</v>
      </c>
      <c r="E57" s="8"/>
      <c r="F57" s="7">
        <f>D57*30</f>
        <v>1200</v>
      </c>
      <c r="G57" s="8"/>
      <c r="H57" s="17">
        <v>1251.3400000000001</v>
      </c>
      <c r="I57" s="17">
        <v>1285.73</v>
      </c>
      <c r="J57" s="17">
        <v>1377.75</v>
      </c>
      <c r="K57" s="17">
        <v>1382.4</v>
      </c>
      <c r="L57" s="17">
        <v>539.4</v>
      </c>
      <c r="M57" s="17">
        <v>1097.75</v>
      </c>
      <c r="N57" s="17">
        <v>1439.4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0">
        <v>4.32</v>
      </c>
      <c r="AO57" s="19">
        <v>3.18</v>
      </c>
      <c r="AP57" s="10">
        <v>8.91</v>
      </c>
      <c r="AQ57" s="19">
        <v>7.03</v>
      </c>
      <c r="AR57" s="11">
        <v>14</v>
      </c>
      <c r="AS57" s="12">
        <v>14</v>
      </c>
      <c r="AT57" s="11">
        <v>4</v>
      </c>
      <c r="AU57" s="12">
        <v>3</v>
      </c>
      <c r="AV57" s="11">
        <v>95</v>
      </c>
      <c r="AW57" s="12">
        <v>95</v>
      </c>
    </row>
    <row r="58" spans="1:49" x14ac:dyDescent="0.35">
      <c r="A58" s="3">
        <v>60</v>
      </c>
      <c r="B58" s="6" t="s">
        <v>103</v>
      </c>
      <c r="C58" s="6" t="s">
        <v>104</v>
      </c>
      <c r="D58" s="23">
        <v>74.150000000000006</v>
      </c>
      <c r="E58" s="8"/>
      <c r="F58" s="21">
        <f>D58*30</f>
        <v>2224.5</v>
      </c>
      <c r="G58" s="8"/>
      <c r="H58" s="17">
        <v>1463.8</v>
      </c>
      <c r="I58" s="17">
        <v>1322.5</v>
      </c>
      <c r="J58" s="17">
        <v>736.64999999999986</v>
      </c>
      <c r="K58" s="17">
        <v>1055.6599999999999</v>
      </c>
      <c r="L58" s="17">
        <v>811.78</v>
      </c>
      <c r="M58" s="17">
        <v>1232.0999999999999</v>
      </c>
      <c r="N58" s="17">
        <v>1007.1800000000001</v>
      </c>
      <c r="O58" s="16">
        <v>1163.3700000000001</v>
      </c>
      <c r="P58" s="16">
        <v>596.44000000000005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0">
        <v>5.07</v>
      </c>
      <c r="AO58" s="19">
        <v>4.7699999999999996</v>
      </c>
      <c r="AP58" s="10">
        <v>13.92</v>
      </c>
      <c r="AQ58" s="19">
        <v>13.22</v>
      </c>
      <c r="AR58" s="11">
        <v>18</v>
      </c>
      <c r="AS58" s="12">
        <v>14</v>
      </c>
      <c r="AT58" s="11">
        <v>8</v>
      </c>
      <c r="AU58" s="12">
        <v>4</v>
      </c>
      <c r="AV58" s="11">
        <v>100</v>
      </c>
      <c r="AW58" s="12">
        <v>100</v>
      </c>
    </row>
  </sheetData>
  <autoFilter ref="A1:AW1" xr:uid="{00000000-0001-0000-01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cons_diario_x_meta_kcal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</dc:creator>
  <cp:lastModifiedBy>Saulo Gil</cp:lastModifiedBy>
  <dcterms:created xsi:type="dcterms:W3CDTF">2026-09-13T17:01:45Z</dcterms:created>
  <dcterms:modified xsi:type="dcterms:W3CDTF">2026-10-20T17:04:25Z</dcterms:modified>
</cp:coreProperties>
</file>